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nn\Desktop\"/>
    </mc:Choice>
  </mc:AlternateContent>
  <xr:revisionPtr revIDLastSave="0" documentId="8_{D94D7AC3-C0BD-44CF-A0B0-68D769F71DA1}" xr6:coauthVersionLast="47" xr6:coauthVersionMax="47" xr10:uidLastSave="{00000000-0000-0000-0000-000000000000}"/>
  <bookViews>
    <workbookView xWindow="-108" yWindow="-108" windowWidth="23256" windowHeight="12456" xr2:uid="{A11C5DB7-262F-4BBA-ACE7-1CD3E0573D52}"/>
  </bookViews>
  <sheets>
    <sheet name="Feuil1" sheetId="1" r:id="rId1"/>
    <sheet name="K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6" i="2"/>
  <c r="A5" i="2"/>
  <c r="A4" i="2"/>
</calcChain>
</file>

<file path=xl/sharedStrings.xml><?xml version="1.0" encoding="utf-8"?>
<sst xmlns="http://schemas.openxmlformats.org/spreadsheetml/2006/main" count="474" uniqueCount="473">
  <si>
    <t>CODE</t>
  </si>
  <si>
    <t>PERIODE YTD 01 2026</t>
  </si>
  <si>
    <t>N-1</t>
  </si>
  <si>
    <t>B</t>
  </si>
  <si>
    <t>R</t>
  </si>
  <si>
    <t>P1110</t>
  </si>
  <si>
    <t>Production vendue</t>
  </si>
  <si>
    <t>P1111</t>
  </si>
  <si>
    <t>Prestations de services</t>
  </si>
  <si>
    <t>P1112</t>
  </si>
  <si>
    <t>Ventes de marchandises</t>
  </si>
  <si>
    <t>P1113</t>
  </si>
  <si>
    <t>Produits des activités annexes</t>
  </si>
  <si>
    <t>P1114</t>
  </si>
  <si>
    <t>Rabais, remises et ristournes accordés par l'entreprise</t>
  </si>
  <si>
    <t>P1115</t>
  </si>
  <si>
    <t>Variation des stocks (en-cours de production, produits)</t>
  </si>
  <si>
    <t>P1119T - Chiffre d'affaires</t>
  </si>
  <si>
    <t>P1121</t>
  </si>
  <si>
    <t>Achats de matières prémières et de fournitures _Intrants  nurseries</t>
  </si>
  <si>
    <t>P1131</t>
  </si>
  <si>
    <t>Energie &amp; Eau des nurseries</t>
  </si>
  <si>
    <t>P1141F</t>
  </si>
  <si>
    <t>Loyers et charges locatives des nurseries_fixe</t>
  </si>
  <si>
    <t>P1141V</t>
  </si>
  <si>
    <t>Loyers et charges locatives des nurseries_variable</t>
  </si>
  <si>
    <t>P1151</t>
  </si>
  <si>
    <t>Transport_nurseries</t>
  </si>
  <si>
    <t>P1161F</t>
  </si>
  <si>
    <t>Autres côuts des nurseries_fixe</t>
  </si>
  <si>
    <t>P1161V</t>
  </si>
  <si>
    <t>Autres côuts des nurseries_variable</t>
  </si>
  <si>
    <t>P1211F</t>
  </si>
  <si>
    <t>Rémunérations du personnel_nurseries_fixe</t>
  </si>
  <si>
    <t>P1211V</t>
  </si>
  <si>
    <t>Rémunérations du personnel_nurseries_variable</t>
  </si>
  <si>
    <t>P1212F</t>
  </si>
  <si>
    <t>Charges de sécurité sociale et de prévoyance_nurseries_fixe</t>
  </si>
  <si>
    <t>P1212V</t>
  </si>
  <si>
    <t>Charges de sécurité sociale et de prévoyance_nurseries_variable</t>
  </si>
  <si>
    <t>P1213F</t>
  </si>
  <si>
    <t>Impôts, taxes et versements assimilés sur rémunérations_nurseries_fixe</t>
  </si>
  <si>
    <t>P1213V</t>
  </si>
  <si>
    <t>Impôts, taxes et versements assimilés sur rémunérations_nurseries_variable</t>
  </si>
  <si>
    <t>P1214F</t>
  </si>
  <si>
    <t>Autres charges de personnel_nurseries_fixe</t>
  </si>
  <si>
    <t>P1214V</t>
  </si>
  <si>
    <t>Autres charges de personnel_nurseries_variable</t>
  </si>
  <si>
    <t>P1215F</t>
  </si>
  <si>
    <t>Retraites_nurseries_fixe</t>
  </si>
  <si>
    <t>P1215V</t>
  </si>
  <si>
    <t>Retraites_nurseries_variable</t>
  </si>
  <si>
    <t>P1216F</t>
  </si>
  <si>
    <t>Reprise provision retraite_nurseries_fixe</t>
  </si>
  <si>
    <t>P1216V</t>
  </si>
  <si>
    <t>Reprise provision retraite_nurseries_variable</t>
  </si>
  <si>
    <t>P1124</t>
  </si>
  <si>
    <t>Variation des stocks de matières prémières et de fournitures _Intrants  nurseries</t>
  </si>
  <si>
    <t>P1299T_Nur - Coûts des nurseries</t>
  </si>
  <si>
    <t>P1122</t>
  </si>
  <si>
    <t>Achats de matières prémières et de fournitures _Intrants fermes</t>
  </si>
  <si>
    <t>P1132</t>
  </si>
  <si>
    <t>Energie &amp; Eau des fermes</t>
  </si>
  <si>
    <t>P1142F</t>
  </si>
  <si>
    <t>Loyers et charges locatives des fermes_fixe</t>
  </si>
  <si>
    <t>P1142V</t>
  </si>
  <si>
    <t>Loyers et charges locatives des fermes_variable</t>
  </si>
  <si>
    <t>P1152</t>
  </si>
  <si>
    <t>Transports fermes</t>
  </si>
  <si>
    <t>P1162F</t>
  </si>
  <si>
    <t>Autres couts des fermes_fixe</t>
  </si>
  <si>
    <t>P1162V</t>
  </si>
  <si>
    <t>Autres couts des fermes_variable</t>
  </si>
  <si>
    <t>P1221F</t>
  </si>
  <si>
    <t>Rémunérations du personnel_fermes_fixe</t>
  </si>
  <si>
    <t>P1221V</t>
  </si>
  <si>
    <t>Rémunérations du personnel_fermes_variable</t>
  </si>
  <si>
    <t>P1222F</t>
  </si>
  <si>
    <t>Charges de sécurité sociale et de prévoyance_fermes_fixe</t>
  </si>
  <si>
    <t>P1222V</t>
  </si>
  <si>
    <t>Charges de sécurité sociale et de prévoyance_fermes_variable</t>
  </si>
  <si>
    <t>P1223F</t>
  </si>
  <si>
    <t>Impôts, taxes et versements assimilés sur rémunérations_fermes_fixe</t>
  </si>
  <si>
    <t>P1223V</t>
  </si>
  <si>
    <t>Impôts, taxes et versements assimilés sur rémunérations_fermes_variable</t>
  </si>
  <si>
    <t>P1224F</t>
  </si>
  <si>
    <t>Autres charges de personnel_fermes_fixe</t>
  </si>
  <si>
    <t>P1224V</t>
  </si>
  <si>
    <t>Autres charges de personnel_fermes_variable</t>
  </si>
  <si>
    <t>P1225F</t>
  </si>
  <si>
    <t>Retraites_fermes_fixe</t>
  </si>
  <si>
    <t>P1225V</t>
  </si>
  <si>
    <t>Retraites_fermes_variable</t>
  </si>
  <si>
    <t>P1226F</t>
  </si>
  <si>
    <t>Reprise provision retraite_fermes_fixe</t>
  </si>
  <si>
    <t>P1226V</t>
  </si>
  <si>
    <t>Reprise provision retraite_fermes_variable</t>
  </si>
  <si>
    <t>P1125</t>
  </si>
  <si>
    <t>Variation des stocks de matières prémières et de fournitures _Intrants fermes</t>
  </si>
  <si>
    <t>P1299T_Fer - Coûts des fermes</t>
  </si>
  <si>
    <t>P1123</t>
  </si>
  <si>
    <t>Achats stockés - Matières premières (et fournitures)_Emballages conditionnement</t>
  </si>
  <si>
    <t>P1133</t>
  </si>
  <si>
    <t>Energie &amp; eau conditionnement</t>
  </si>
  <si>
    <t>P1154</t>
  </si>
  <si>
    <t>Transport Personnel conditionnement</t>
  </si>
  <si>
    <t>P1164F</t>
  </si>
  <si>
    <t>Autres coûts de conditionnement_fixe</t>
  </si>
  <si>
    <t>P1164V</t>
  </si>
  <si>
    <t>Autres coûts de conditionnement_variable</t>
  </si>
  <si>
    <t>P1241F</t>
  </si>
  <si>
    <t>Rémunérations du personnel_conditionnement_fixe</t>
  </si>
  <si>
    <t>P1241V</t>
  </si>
  <si>
    <t>Rémunérations du personnel_conditionnement_variable</t>
  </si>
  <si>
    <t>P1242F</t>
  </si>
  <si>
    <t>Charges de sécurité sociale et de prévoyance_conditionnement_fixe</t>
  </si>
  <si>
    <t>P1242V</t>
  </si>
  <si>
    <t>Charges de sécurité sociale et de prévoyance_conditionnement_variable</t>
  </si>
  <si>
    <t>P1243F</t>
  </si>
  <si>
    <t>Impôts, taxes et versements assimilés sur rémunérations_conditionnement_fixe</t>
  </si>
  <si>
    <t>P1243V</t>
  </si>
  <si>
    <t>Impôts, taxes et versements assimilés sur rémunérations_conditionnement_variable</t>
  </si>
  <si>
    <t>P1244F</t>
  </si>
  <si>
    <t>Autres charges de personnel_conditionnement_fixe</t>
  </si>
  <si>
    <t>P1244V</t>
  </si>
  <si>
    <t>Autres charges de personnel_conditionnement_variable</t>
  </si>
  <si>
    <t>P1245F</t>
  </si>
  <si>
    <t>Retraites_conditionnement_fixe</t>
  </si>
  <si>
    <t>P1245V</t>
  </si>
  <si>
    <t>Retraites_conditionnement_variable</t>
  </si>
  <si>
    <t>P1246F</t>
  </si>
  <si>
    <t>Reprise provision retraite_conditionnement_fixe</t>
  </si>
  <si>
    <t>P1246V</t>
  </si>
  <si>
    <t>Reprise provision retraite_conditionnement_variable</t>
  </si>
  <si>
    <t>P1127</t>
  </si>
  <si>
    <t>Variation des autres stocks_Emballages conditionnement</t>
  </si>
  <si>
    <t>P1128</t>
  </si>
  <si>
    <t>Variation des stocks_fournitures conditionnement</t>
  </si>
  <si>
    <t>P1299T_Cnd - Coûts de conditionnement</t>
  </si>
  <si>
    <t>P1150</t>
  </si>
  <si>
    <t>Transport de marchandises</t>
  </si>
  <si>
    <t>P1153</t>
  </si>
  <si>
    <t>Transport Personnel distribution</t>
  </si>
  <si>
    <t>P1163F</t>
  </si>
  <si>
    <t>Autres couts de distribution_fixe</t>
  </si>
  <si>
    <t>P1163V</t>
  </si>
  <si>
    <t>Autres couts de distribution_variable</t>
  </si>
  <si>
    <t>P1231F</t>
  </si>
  <si>
    <t>Rémunérations du personnel_distribution_fixe</t>
  </si>
  <si>
    <t>P1231V</t>
  </si>
  <si>
    <t>Rémunérations du personnel_distribution_variable</t>
  </si>
  <si>
    <t>P1232F</t>
  </si>
  <si>
    <t>Charges de sécurité sociale et de prévoyance_distribution_fixe</t>
  </si>
  <si>
    <t>P1232V</t>
  </si>
  <si>
    <t>Charges de sécurité sociale et de prévoyance_distribution_variable</t>
  </si>
  <si>
    <t>P1233F</t>
  </si>
  <si>
    <t>Impôts, taxes et versements assimilés sur rémunérations_distribution_fixe</t>
  </si>
  <si>
    <t>P1233V</t>
  </si>
  <si>
    <t>Impôts, taxes et versements assimilés sur rémunérations_distribution_variable</t>
  </si>
  <si>
    <t>P1234F</t>
  </si>
  <si>
    <t>Autres charges de personnel_distribution_fixe</t>
  </si>
  <si>
    <t>P1234V</t>
  </si>
  <si>
    <t>Autres charges de personnel_distribution_variable</t>
  </si>
  <si>
    <t>P1235F</t>
  </si>
  <si>
    <t>Retraites_distribution_fixe</t>
  </si>
  <si>
    <t>P1235V</t>
  </si>
  <si>
    <t>Retraites_distribution_variable</t>
  </si>
  <si>
    <t>P1236F</t>
  </si>
  <si>
    <t>Reprise provision retraite_distribution_fixe</t>
  </si>
  <si>
    <t>P1236V</t>
  </si>
  <si>
    <t>Reprise provision retraite_distribution_variable</t>
  </si>
  <si>
    <t>P1299T_Dis - Coûts de distribution</t>
  </si>
  <si>
    <t>P1120</t>
  </si>
  <si>
    <t>Achats de marchandises et autres charges directes</t>
  </si>
  <si>
    <t>P1126</t>
  </si>
  <si>
    <t>Variation des stocks de marchandises et des autres charges directes</t>
  </si>
  <si>
    <t>P119CL</t>
  </si>
  <si>
    <t>Compte de liaison - Marge brute</t>
  </si>
  <si>
    <t>P1299T_Aut - Autres charges directes</t>
  </si>
  <si>
    <t>TOTAL CHARGES DIRECTES</t>
  </si>
  <si>
    <t>P129T - Marge Brute</t>
  </si>
  <si>
    <t>% MARGE / CA + PEC</t>
  </si>
  <si>
    <t>P1421</t>
  </si>
  <si>
    <t>Sous-traitance générale_opérations</t>
  </si>
  <si>
    <t>P1422</t>
  </si>
  <si>
    <t>Redevances de crédit-bail_opérations</t>
  </si>
  <si>
    <t>P1423</t>
  </si>
  <si>
    <t>Locations et charges locatives_opérations</t>
  </si>
  <si>
    <t>P1424</t>
  </si>
  <si>
    <t>Entretien et réparations_opérations</t>
  </si>
  <si>
    <t>P1425</t>
  </si>
  <si>
    <t>Primes d'assurances_opérations</t>
  </si>
  <si>
    <t>P1426</t>
  </si>
  <si>
    <t>Études et recherches_opérations</t>
  </si>
  <si>
    <t>P1427</t>
  </si>
  <si>
    <t>Divers_opérations</t>
  </si>
  <si>
    <t>P1428</t>
  </si>
  <si>
    <t>Rémunérations d'intermédiaires et honoraires_opérations</t>
  </si>
  <si>
    <t>P1429</t>
  </si>
  <si>
    <t>Publicité, publications, relations publiques_opérations</t>
  </si>
  <si>
    <t>P1430</t>
  </si>
  <si>
    <t>Transports de biens et transports collectifs du personnel_opérations</t>
  </si>
  <si>
    <t>P1431</t>
  </si>
  <si>
    <t>Déplacements, missions et réceptions_opérations</t>
  </si>
  <si>
    <t>P1432</t>
  </si>
  <si>
    <t>Frais postaux et de télécommunications_opérations</t>
  </si>
  <si>
    <t>P1433</t>
  </si>
  <si>
    <t>Services bancaires et assimilés_opérations</t>
  </si>
  <si>
    <t>P1435</t>
  </si>
  <si>
    <t>Achats fournitures et petits matériels_opérations</t>
  </si>
  <si>
    <t>P1436</t>
  </si>
  <si>
    <t>Variation des achats de fournitures et petits matériels_opérations</t>
  </si>
  <si>
    <t>1599T -  Services extérieurs</t>
  </si>
  <si>
    <t>P1411</t>
  </si>
  <si>
    <t>Impôts, taxes et versements assimilés_opérations</t>
  </si>
  <si>
    <t>P1313</t>
  </si>
  <si>
    <t>Impôts, taxes et versements assimilés sur rémunérations_opérations</t>
  </si>
  <si>
    <t>1599T - Impôts et taxes</t>
  </si>
  <si>
    <t>P1311</t>
  </si>
  <si>
    <t>Rémunérations du personnel_opérations</t>
  </si>
  <si>
    <t>P1312</t>
  </si>
  <si>
    <t>Charges de sécurité sociale et de prévoyance_opérations</t>
  </si>
  <si>
    <t>P1314</t>
  </si>
  <si>
    <t>Autres charges de personnel_opérations</t>
  </si>
  <si>
    <t>P1315</t>
  </si>
  <si>
    <t>Retraites_opérations</t>
  </si>
  <si>
    <t>P1316</t>
  </si>
  <si>
    <t>Reprise provision retraite_opérations</t>
  </si>
  <si>
    <t>1599T - Charges de personnel</t>
  </si>
  <si>
    <t>P1511</t>
  </si>
  <si>
    <t>Charges de personnels Axe 5</t>
  </si>
  <si>
    <t>P1512</t>
  </si>
  <si>
    <t>Impôts, taxes et versements assimilés_Axe 5</t>
  </si>
  <si>
    <t>P1513</t>
  </si>
  <si>
    <t>Rémunérations d'intermédiaires et honoraires_Axe 5</t>
  </si>
  <si>
    <t>P1514</t>
  </si>
  <si>
    <t>Publicité, publications, relations publiques_Axe 5</t>
  </si>
  <si>
    <t>P1515</t>
  </si>
  <si>
    <t>Transports de biens et transports collectifs du personnel_Axe 5</t>
  </si>
  <si>
    <t>P1516</t>
  </si>
  <si>
    <t>Déplacements, missions et réceptions_Axe 5</t>
  </si>
  <si>
    <t>P1517</t>
  </si>
  <si>
    <t>Frais postaux et de télécommunications_Axe 5</t>
  </si>
  <si>
    <t>P1518</t>
  </si>
  <si>
    <t>Services bancaires et assimilés_Axe 5</t>
  </si>
  <si>
    <t>P1519</t>
  </si>
  <si>
    <t>Divers_Axe 5</t>
  </si>
  <si>
    <t>1599T - Charges indirectes Axe 5</t>
  </si>
  <si>
    <t>P1631</t>
  </si>
  <si>
    <t>Subventions</t>
  </si>
  <si>
    <t>P1632</t>
  </si>
  <si>
    <t>Plus ou moins value de cession d'immobilisations opérationnelles</t>
  </si>
  <si>
    <t>P1633</t>
  </si>
  <si>
    <t>Quotes - parts de résultat sur opérations faites en commun</t>
  </si>
  <si>
    <t>P1634</t>
  </si>
  <si>
    <t>Gains/pertes  de change sur créances commerciales</t>
  </si>
  <si>
    <t>P1635</t>
  </si>
  <si>
    <t>Produits divers de gestion courante</t>
  </si>
  <si>
    <t>P1636</t>
  </si>
  <si>
    <t>Transferts de charges d'exploitation</t>
  </si>
  <si>
    <t>P1637</t>
  </si>
  <si>
    <t>Reprises dépréciations et provisions pour risques et charges opérationnels</t>
  </si>
  <si>
    <t>P1622</t>
  </si>
  <si>
    <t>Pertes de change sur créances commerciales</t>
  </si>
  <si>
    <t>P1623</t>
  </si>
  <si>
    <t>Charges diverses de gestion courante</t>
  </si>
  <si>
    <t>P1629</t>
  </si>
  <si>
    <t>Provision pour risques et charges opérationnels</t>
  </si>
  <si>
    <t>P1660</t>
  </si>
  <si>
    <t>Résultat de réévaluation à la juste valeur (opérationnel)</t>
  </si>
  <si>
    <t>P159CL</t>
  </si>
  <si>
    <t>Compte de liaison - Résultat opérationnel</t>
  </si>
  <si>
    <t>1699T - Autres produits et charges opérationnelles</t>
  </si>
  <si>
    <t>TOTAL CHARGES INDIRECTES</t>
  </si>
  <si>
    <t>P169T - EBITDA</t>
  </si>
  <si>
    <t>EBITDA / CA + PEC</t>
  </si>
  <si>
    <t>P1730</t>
  </si>
  <si>
    <t>Dépréciation des écarts d'acquisition</t>
  </si>
  <si>
    <t>P1731</t>
  </si>
  <si>
    <t>Dotations aux amortissements</t>
  </si>
  <si>
    <t>P1732</t>
  </si>
  <si>
    <t>Provision clients douteux</t>
  </si>
  <si>
    <t>P1733</t>
  </si>
  <si>
    <t>Autres provisions pour risques</t>
  </si>
  <si>
    <t>P1734</t>
  </si>
  <si>
    <t>Dotation pour dépreciation des stocks et autres actifs circulants</t>
  </si>
  <si>
    <t>1799T - Dotations aux amortissements et provisions</t>
  </si>
  <si>
    <t>P1750R</t>
  </si>
  <si>
    <t>Dotations aux amortissements, Terrains, Droit d'utilisation</t>
  </si>
  <si>
    <t>P1751R</t>
  </si>
  <si>
    <t>Dotations aux amortissements, Agencements et aménagements de terrains, Droit d'utilisation</t>
  </si>
  <si>
    <t>P1752R</t>
  </si>
  <si>
    <t>Dotations aux amortissements, Constructions, Droit d'utilisation</t>
  </si>
  <si>
    <t>P1753R</t>
  </si>
  <si>
    <t xml:space="preserve">Dotations aux amortissements, Constructions sur sol d'autrui, Droit d'utilisation </t>
  </si>
  <si>
    <t>P1754R</t>
  </si>
  <si>
    <t>Dotations aux amortissements, Installations techniques, matériels et outillage industriels, Droit d'utilisation</t>
  </si>
  <si>
    <t>P1755R</t>
  </si>
  <si>
    <t>Dotations aux amortissements, Matériels de bureau, Droit d'utilisation</t>
  </si>
  <si>
    <t>P1756R</t>
  </si>
  <si>
    <t>Dotations aux amortissements, Véhicules, Droit d'utilisation</t>
  </si>
  <si>
    <t>P1757R</t>
  </si>
  <si>
    <t>Dotations aux amortissements, Matériels informatiques, Droit d'utilisation</t>
  </si>
  <si>
    <t>P1758R</t>
  </si>
  <si>
    <t>Dotations aux amortissements, Autres immobilisations corporelles, Droit d'utilisation</t>
  </si>
  <si>
    <t>P1760R</t>
  </si>
  <si>
    <t>Dotations aux amortissements, Logiciels, Droit d'utilisation</t>
  </si>
  <si>
    <t>P1761R</t>
  </si>
  <si>
    <t>Dotations aux amortissements, Licences et franchises, Droit d'utilisation</t>
  </si>
  <si>
    <t>P1762R</t>
  </si>
  <si>
    <t>Dotations aux amortissements, Brevets, marques déposées et autres droits, Droit d'utilisation</t>
  </si>
  <si>
    <t>P1763R</t>
  </si>
  <si>
    <t>Dotations aux amortissements, Autres immobilisations incorporelles, Droit d'utilisation</t>
  </si>
  <si>
    <t>1799TR - Dotations aux amortissements, Droit d'utilisation</t>
  </si>
  <si>
    <t>P1741</t>
  </si>
  <si>
    <t>Reprises sur amortissements</t>
  </si>
  <si>
    <t>P1742</t>
  </si>
  <si>
    <t>Reprise provision clients douteux</t>
  </si>
  <si>
    <t>P1743</t>
  </si>
  <si>
    <t>Autres reprises de provisions pour risques</t>
  </si>
  <si>
    <t>P1744</t>
  </si>
  <si>
    <t>Reprise sur dépreciation des stocks et autres actifs circulants</t>
  </si>
  <si>
    <t>1799T - Reprises sur amortissements et provisions</t>
  </si>
  <si>
    <t>P1770R</t>
  </si>
  <si>
    <t>Reprises sur amortissements, Terrains, Droit d'utilisation</t>
  </si>
  <si>
    <t>P1771R</t>
  </si>
  <si>
    <t>Reprises sur amortissements, Agencements et aménagements de terrains, Droit d'utilisation</t>
  </si>
  <si>
    <t>P1772R</t>
  </si>
  <si>
    <t>Reprises sur amortissements, Constructions, Droit d'utilisation</t>
  </si>
  <si>
    <t>P1773R</t>
  </si>
  <si>
    <t xml:space="preserve">Reprises sur amortissements, Constructions sur sol d'autrui, Droit d'utilisation </t>
  </si>
  <si>
    <t>P1774R</t>
  </si>
  <si>
    <t>Reprises sur amortissements, Installations techniques, matériels et outillage industriels, Droit d'utilisation</t>
  </si>
  <si>
    <t>P1775R</t>
  </si>
  <si>
    <t>Reprises sur amortissements, Matériels de bureau, Droit d'utilisation</t>
  </si>
  <si>
    <t>P1776R</t>
  </si>
  <si>
    <t>Reprises sur amortissements, Véhicules, Droit d'utilisation</t>
  </si>
  <si>
    <t>P1777R</t>
  </si>
  <si>
    <t>Reprises sur amortissements, Matériels informatiques, Droit d'utilisation</t>
  </si>
  <si>
    <t>P1778R</t>
  </si>
  <si>
    <t>Reprises sur amortissements, Autres immobilisations corporelles, Droit d'utilisation</t>
  </si>
  <si>
    <t>P1780R</t>
  </si>
  <si>
    <t>Reprises sur amortissements, Logiciels, Droit d'utilisation</t>
  </si>
  <si>
    <t>P1781R</t>
  </si>
  <si>
    <t>Reprises sur amortissements, Licences et franchises, Droit d'utilisation</t>
  </si>
  <si>
    <t>P1782R</t>
  </si>
  <si>
    <t>Reprises sur amortissements, Brevets, marques déposées et autres droits, Droit d'utilisation</t>
  </si>
  <si>
    <t>P1783R</t>
  </si>
  <si>
    <t>Reprises sur amortissements, Autres immobilisations incorporelles, Droit d'utilisation</t>
  </si>
  <si>
    <t>1799TR - Reprises sur amortissements et provisions, Droit d'utilisation</t>
  </si>
  <si>
    <t>P179T - EBIT</t>
  </si>
  <si>
    <t>P2110</t>
  </si>
  <si>
    <t>Rep./Provisions sur titres de participation</t>
  </si>
  <si>
    <t>P2111</t>
  </si>
  <si>
    <t>Rep./Provisions autres actifs financiers</t>
  </si>
  <si>
    <t>P2112</t>
  </si>
  <si>
    <t>Rep./Prov. risques et ch. financiers</t>
  </si>
  <si>
    <t>P2121</t>
  </si>
  <si>
    <t>Produits d'intérêts sur prêts groupe</t>
  </si>
  <si>
    <t>P2122</t>
  </si>
  <si>
    <t>Produits d'intérêts sur compte courants</t>
  </si>
  <si>
    <t>P2123</t>
  </si>
  <si>
    <t>Produits d'intérêts sur cashpooling</t>
  </si>
  <si>
    <t>P2130</t>
  </si>
  <si>
    <t>Résultat de réévaluation à la juste valeur (financier)</t>
  </si>
  <si>
    <t>P2140</t>
  </si>
  <si>
    <t>Dividendes</t>
  </si>
  <si>
    <t>P2150</t>
  </si>
  <si>
    <t>Revenus actifs financiers</t>
  </si>
  <si>
    <t>P2151</t>
  </si>
  <si>
    <t>Gains de change</t>
  </si>
  <si>
    <t>P2160</t>
  </si>
  <si>
    <t xml:space="preserve">Prod. nets/ cession VMP </t>
  </si>
  <si>
    <t>P2170</t>
  </si>
  <si>
    <t>Transfert de charges financières</t>
  </si>
  <si>
    <t>P2180</t>
  </si>
  <si>
    <t>Autres produits financiers</t>
  </si>
  <si>
    <t>P2190</t>
  </si>
  <si>
    <t>Produit de fusion</t>
  </si>
  <si>
    <t>P229T - Produits financiers</t>
  </si>
  <si>
    <t>P2210</t>
  </si>
  <si>
    <t>Dot./Provisions sur titres de participation</t>
  </si>
  <si>
    <t>P2211</t>
  </si>
  <si>
    <t>Dot./Provisions sur autres actifs financiers</t>
  </si>
  <si>
    <t>P2212</t>
  </si>
  <si>
    <t>Dot./Prov. risques et charges financiers</t>
  </si>
  <si>
    <t>P2221</t>
  </si>
  <si>
    <t>Charges d'intérêts sur emprunts groupe</t>
  </si>
  <si>
    <t>P2222</t>
  </si>
  <si>
    <t xml:space="preserve">Charges d'intérêts sur Comptes courants </t>
  </si>
  <si>
    <t>P2223</t>
  </si>
  <si>
    <t>Charges d'intérêts sur cashpooling</t>
  </si>
  <si>
    <t>P2224</t>
  </si>
  <si>
    <t>Charges d'intérêts sur emprunts et dettes auprès d'étb de crédit</t>
  </si>
  <si>
    <t>P2225</t>
  </si>
  <si>
    <t>Charges d'intérêts sur emprunts obligataires</t>
  </si>
  <si>
    <t>P2226</t>
  </si>
  <si>
    <t>Charges d'intérêts sur dette de crédit-bail</t>
  </si>
  <si>
    <t>P2227</t>
  </si>
  <si>
    <t>Charges d'intérêts sur autres emprunts et dettes</t>
  </si>
  <si>
    <t>P2228</t>
  </si>
  <si>
    <t>Autres charges financières</t>
  </si>
  <si>
    <t>P2230</t>
  </si>
  <si>
    <t>Pertes/ actifs financiers</t>
  </si>
  <si>
    <t>P2240</t>
  </si>
  <si>
    <t>Pertes de change</t>
  </si>
  <si>
    <t>P2290</t>
  </si>
  <si>
    <t>Charges de fusion</t>
  </si>
  <si>
    <t>P229CL</t>
  </si>
  <si>
    <t>Compte de liaison - Résultat financier</t>
  </si>
  <si>
    <t>P229T - Charges financières</t>
  </si>
  <si>
    <t>P299T - Résultat financier</t>
  </si>
  <si>
    <t>P3010</t>
  </si>
  <si>
    <t>Produits de cessions d'immobilisations corporelles</t>
  </si>
  <si>
    <t>P3011</t>
  </si>
  <si>
    <t>Produits de cessions d'immeubles de placement</t>
  </si>
  <si>
    <t>P3012</t>
  </si>
  <si>
    <t>Produits de cessions d'immobilisations incorporelles</t>
  </si>
  <si>
    <t>P3013</t>
  </si>
  <si>
    <t>Produits de cessions d'actifs biologiques</t>
  </si>
  <si>
    <t>P3014</t>
  </si>
  <si>
    <t>Produits de cessions d'autres actifs</t>
  </si>
  <si>
    <t>P3015</t>
  </si>
  <si>
    <t>Produits de cessions de titres des filiales consolidées</t>
  </si>
  <si>
    <t>P3016</t>
  </si>
  <si>
    <t>Produits de cessions de titres dans d'autres entités</t>
  </si>
  <si>
    <t>P3018</t>
  </si>
  <si>
    <t>Résultat de fusion</t>
  </si>
  <si>
    <t>P3019</t>
  </si>
  <si>
    <t>P3020</t>
  </si>
  <si>
    <t>Gain sur acquisition à des conditions avantageuses</t>
  </si>
  <si>
    <t>P3021</t>
  </si>
  <si>
    <t>Provisions internes</t>
  </si>
  <si>
    <t>P3030</t>
  </si>
  <si>
    <t>Autres produits non-courants</t>
  </si>
  <si>
    <t>P3040</t>
  </si>
  <si>
    <t>Autres charges non courantes</t>
  </si>
  <si>
    <t>P3050</t>
  </si>
  <si>
    <t>VNC des immobilisations corporelles cédées</t>
  </si>
  <si>
    <t>P3051</t>
  </si>
  <si>
    <t>VNC des immeubles de placement cédés</t>
  </si>
  <si>
    <t>P3052</t>
  </si>
  <si>
    <t>VNC des immobilisations incorporelles cédées</t>
  </si>
  <si>
    <t>P3053</t>
  </si>
  <si>
    <t>VNC des actifs biologiques cédés</t>
  </si>
  <si>
    <t>P3054</t>
  </si>
  <si>
    <t>VNC des autres actifs cédés</t>
  </si>
  <si>
    <t>P3055</t>
  </si>
  <si>
    <t>VNC des titres des filiales consolidées cédés</t>
  </si>
  <si>
    <t>P3056</t>
  </si>
  <si>
    <t>VNC des titres dans d'autres entités cédés</t>
  </si>
  <si>
    <t>P3060</t>
  </si>
  <si>
    <t>Dotations non courantes</t>
  </si>
  <si>
    <t>P3070</t>
  </si>
  <si>
    <t>Reprises/Subv.d'Invest de l'ex</t>
  </si>
  <si>
    <t>P3080</t>
  </si>
  <si>
    <t>Reprises non courantes</t>
  </si>
  <si>
    <t>P399CL</t>
  </si>
  <si>
    <t>Compte de liaison - Résultat non courant</t>
  </si>
  <si>
    <t>P399T - Resultat non courant</t>
  </si>
  <si>
    <t>P499T- Résultat avant impôts</t>
  </si>
  <si>
    <t>RAI/CA</t>
  </si>
  <si>
    <t>P6000</t>
  </si>
  <si>
    <t>Participation</t>
  </si>
  <si>
    <t>P6000 - Participation</t>
  </si>
  <si>
    <t>P5010</t>
  </si>
  <si>
    <t>Impôt exigible</t>
  </si>
  <si>
    <t>P5020</t>
  </si>
  <si>
    <t>Impôt différé</t>
  </si>
  <si>
    <t>P599T - Charge d'impôt</t>
  </si>
  <si>
    <t>Résultat net N</t>
  </si>
  <si>
    <t>RN/CA</t>
  </si>
  <si>
    <t>Résultat net from BG Conso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</si>
</sst>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(#,##0\);\-"/>
    <numFmt numFmtId="165" formatCode="_-* #,##0_-;\-* #,##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sz val="8"/>
      <name val="Times New Roman"/>
      <family val="1"/>
    </font>
    <font>
      <sz val="8"/>
      <color theme="1" tint="4.9989318521683403E-2"/>
      <name val="Times New Roman"/>
      <family val="1"/>
    </font>
    <font>
      <sz val="8"/>
      <color theme="1"/>
      <name val="Times New Roman"/>
      <family val="1"/>
    </font>
    <font>
      <sz val="8"/>
      <name val="Aptos Narrow"/>
      <family val="2"/>
      <scheme val="minor"/>
    </font>
    <font>
      <sz val="10"/>
      <name val="Arial"/>
      <family val="2"/>
    </font>
    <font>
      <b/>
      <sz val="8"/>
      <name val="Times New Roman"/>
      <family val="1"/>
    </font>
    <font>
      <b/>
      <sz val="8"/>
      <color theme="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Aptos Narrow"/>
      <family val="2"/>
      <scheme val="minor"/>
    </font>
    <font>
      <sz val="8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588B39"/>
      </top>
      <bottom style="medium">
        <color rgb="FF588B3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</cellStyleXfs>
  <cellXfs count="49">
    <xf numFmtId="0" fontId="0" fillId="0" borderId="0" xfId="0"/>
    <xf numFmtId="14" fontId="2" fillId="2" borderId="0" xfId="0" applyNumberFormat="1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left" vertical="center" wrapText="1"/>
    </xf>
    <xf numFmtId="14" fontId="3" fillId="3" borderId="0" xfId="0" applyNumberFormat="1" applyFont="1" applyFill="1" applyAlignment="1">
      <alignment horizontal="center" vertical="center" wrapText="1"/>
    </xf>
    <xf numFmtId="49" fontId="4" fillId="4" borderId="0" xfId="0" applyNumberFormat="1" applyFont="1" applyFill="1"/>
    <xf numFmtId="49" fontId="4" fillId="4" borderId="0" xfId="0" applyNumberFormat="1" applyFont="1" applyFill="1" applyAlignment="1">
      <alignment horizontal="left"/>
    </xf>
    <xf numFmtId="164" fontId="4" fillId="0" borderId="0" xfId="3" applyNumberFormat="1" applyFont="1" applyFill="1" applyBorder="1" applyAlignment="1">
      <alignment horizontal="right" vertical="center"/>
    </xf>
    <xf numFmtId="164" fontId="5" fillId="0" borderId="0" xfId="3" applyNumberFormat="1" applyFont="1" applyFill="1" applyBorder="1" applyAlignment="1">
      <alignment horizontal="right" vertical="center"/>
    </xf>
    <xf numFmtId="164" fontId="6" fillId="0" borderId="0" xfId="3" applyNumberFormat="1" applyFont="1" applyFill="1" applyBorder="1" applyAlignment="1">
      <alignment horizontal="right" vertical="center"/>
    </xf>
    <xf numFmtId="49" fontId="7" fillId="4" borderId="0" xfId="0" applyNumberFormat="1" applyFont="1" applyFill="1"/>
    <xf numFmtId="49" fontId="7" fillId="4" borderId="0" xfId="0" applyNumberFormat="1" applyFont="1" applyFill="1" applyAlignment="1">
      <alignment horizontal="left"/>
    </xf>
    <xf numFmtId="0" fontId="4" fillId="4" borderId="0" xfId="4" applyFont="1" applyFill="1" applyAlignment="1">
      <alignment vertical="center"/>
    </xf>
    <xf numFmtId="0" fontId="9" fillId="5" borderId="1" xfId="4" applyFont="1" applyFill="1" applyBorder="1" applyAlignment="1">
      <alignment vertical="center" wrapText="1"/>
    </xf>
    <xf numFmtId="164" fontId="9" fillId="5" borderId="1" xfId="4" applyNumberFormat="1" applyFont="1" applyFill="1" applyBorder="1" applyAlignment="1">
      <alignment vertical="center" wrapText="1"/>
    </xf>
    <xf numFmtId="0" fontId="7" fillId="4" borderId="0" xfId="4" applyFont="1" applyFill="1" applyAlignment="1">
      <alignment vertical="center" wrapText="1"/>
    </xf>
    <xf numFmtId="164" fontId="10" fillId="6" borderId="0" xfId="3" applyNumberFormat="1" applyFont="1" applyFill="1" applyBorder="1" applyAlignment="1">
      <alignment horizontal="right" vertical="center"/>
    </xf>
    <xf numFmtId="0" fontId="11" fillId="7" borderId="1" xfId="4" applyFont="1" applyFill="1" applyBorder="1" applyAlignment="1">
      <alignment vertical="center" wrapText="1"/>
    </xf>
    <xf numFmtId="164" fontId="11" fillId="7" borderId="1" xfId="4" applyNumberFormat="1" applyFont="1" applyFill="1" applyBorder="1" applyAlignment="1">
      <alignment vertical="center" wrapText="1"/>
    </xf>
    <xf numFmtId="164" fontId="4" fillId="5" borderId="0" xfId="3" applyNumberFormat="1" applyFont="1" applyFill="1" applyBorder="1" applyAlignment="1">
      <alignment horizontal="right" vertical="center"/>
    </xf>
    <xf numFmtId="164" fontId="7" fillId="4" borderId="0" xfId="4" applyNumberFormat="1" applyFont="1" applyFill="1" applyAlignment="1">
      <alignment vertical="center" wrapText="1"/>
    </xf>
    <xf numFmtId="0" fontId="7" fillId="4" borderId="1" xfId="4" applyFont="1" applyFill="1" applyBorder="1" applyAlignment="1">
      <alignment vertical="center" wrapText="1"/>
    </xf>
    <xf numFmtId="164" fontId="7" fillId="4" borderId="1" xfId="4" applyNumberFormat="1" applyFont="1" applyFill="1" applyBorder="1" applyAlignment="1">
      <alignment vertical="center" wrapText="1"/>
    </xf>
    <xf numFmtId="164" fontId="7" fillId="0" borderId="1" xfId="4" applyNumberFormat="1" applyFont="1" applyBorder="1" applyAlignment="1">
      <alignment vertical="center" wrapText="1"/>
    </xf>
    <xf numFmtId="0" fontId="9" fillId="8" borderId="1" xfId="4" applyFont="1" applyFill="1" applyBorder="1" applyAlignment="1">
      <alignment vertical="center" wrapText="1"/>
    </xf>
    <xf numFmtId="164" fontId="9" fillId="8" borderId="1" xfId="4" applyNumberFormat="1" applyFont="1" applyFill="1" applyBorder="1" applyAlignment="1">
      <alignment vertical="center" wrapText="1"/>
    </xf>
    <xf numFmtId="0" fontId="9" fillId="9" borderId="1" xfId="4" applyFont="1" applyFill="1" applyBorder="1" applyAlignment="1">
      <alignment vertical="center" wrapText="1"/>
    </xf>
    <xf numFmtId="164" fontId="9" fillId="9" borderId="1" xfId="4" applyNumberFormat="1" applyFont="1" applyFill="1" applyBorder="1" applyAlignment="1">
      <alignment vertical="center" wrapText="1"/>
    </xf>
    <xf numFmtId="0" fontId="9" fillId="10" borderId="0" xfId="4" applyFont="1" applyFill="1" applyAlignment="1">
      <alignment vertical="center" wrapText="1"/>
    </xf>
    <xf numFmtId="164" fontId="9" fillId="10" borderId="0" xfId="4" applyNumberFormat="1" applyFont="1" applyFill="1" applyAlignment="1">
      <alignment vertical="center" wrapText="1"/>
    </xf>
    <xf numFmtId="9" fontId="2" fillId="2" borderId="0" xfId="2" applyFont="1" applyFill="1" applyBorder="1" applyAlignment="1">
      <alignment horizontal="center" vertical="center" wrapText="1"/>
    </xf>
    <xf numFmtId="0" fontId="12" fillId="4" borderId="0" xfId="0" applyFont="1" applyFill="1"/>
    <xf numFmtId="164" fontId="4" fillId="11" borderId="0" xfId="3" applyNumberFormat="1" applyFont="1" applyFill="1" applyBorder="1" applyAlignment="1">
      <alignment horizontal="right" vertical="center"/>
    </xf>
    <xf numFmtId="164" fontId="13" fillId="0" borderId="0" xfId="3" applyNumberFormat="1" applyFont="1" applyFill="1" applyBorder="1" applyAlignment="1">
      <alignment horizontal="right" vertical="center"/>
    </xf>
    <xf numFmtId="0" fontId="9" fillId="7" borderId="1" xfId="4" applyFont="1" applyFill="1" applyBorder="1" applyAlignment="1">
      <alignment vertical="center" wrapText="1"/>
    </xf>
    <xf numFmtId="164" fontId="9" fillId="7" borderId="1" xfId="4" applyNumberFormat="1" applyFont="1" applyFill="1" applyBorder="1" applyAlignment="1">
      <alignment vertical="center" wrapText="1"/>
    </xf>
    <xf numFmtId="0" fontId="4" fillId="4" borderId="1" xfId="4" applyFont="1" applyFill="1" applyBorder="1" applyAlignment="1">
      <alignment vertical="center" wrapText="1"/>
    </xf>
    <xf numFmtId="164" fontId="4" fillId="4" borderId="1" xfId="4" applyNumberFormat="1" applyFont="1" applyFill="1" applyBorder="1" applyAlignment="1">
      <alignment vertical="center" wrapText="1"/>
    </xf>
    <xf numFmtId="164" fontId="4" fillId="0" borderId="1" xfId="4" applyNumberFormat="1" applyFont="1" applyBorder="1" applyAlignment="1">
      <alignment vertical="center" wrapText="1"/>
    </xf>
    <xf numFmtId="0" fontId="6" fillId="4" borderId="1" xfId="4" applyFont="1" applyFill="1" applyBorder="1" applyAlignment="1">
      <alignment vertical="center" wrapText="1"/>
    </xf>
    <xf numFmtId="9" fontId="2" fillId="2" borderId="0" xfId="2" applyFont="1" applyFill="1" applyAlignment="1">
      <alignment horizontal="center" vertical="center" wrapText="1"/>
    </xf>
    <xf numFmtId="0" fontId="11" fillId="10" borderId="0" xfId="0" applyFont="1" applyFill="1"/>
    <xf numFmtId="164" fontId="7" fillId="0" borderId="0" xfId="3" applyNumberFormat="1" applyFont="1" applyFill="1" applyBorder="1" applyAlignment="1">
      <alignment horizontal="right" vertical="center"/>
    </xf>
    <xf numFmtId="165" fontId="9" fillId="9" borderId="1" xfId="4" applyNumberFormat="1" applyFont="1" applyFill="1" applyBorder="1" applyAlignment="1">
      <alignment vertical="center" wrapText="1"/>
    </xf>
    <xf numFmtId="165" fontId="9" fillId="9" borderId="1" xfId="1" applyNumberFormat="1" applyFont="1" applyFill="1" applyBorder="1" applyAlignment="1">
      <alignment vertical="center" wrapText="1"/>
    </xf>
    <xf numFmtId="9" fontId="11" fillId="10" borderId="0" xfId="2" applyFont="1" applyFill="1"/>
    <xf numFmtId="0" fontId="12" fillId="0" borderId="0" xfId="0" applyFont="1"/>
    <xf numFmtId="0" fontId="6" fillId="9" borderId="0" xfId="0" applyFont="1" applyFill="1"/>
    <xf numFmtId="0" fontId="9" fillId="9" borderId="0" xfId="0" applyFont="1" applyFill="1" applyAlignment="1">
      <alignment horizontal="left"/>
    </xf>
    <xf numFmtId="3" fontId="9" fillId="9" borderId="0" xfId="0" applyNumberFormat="1" applyFont="1" applyFill="1" applyAlignment="1">
      <alignment horizontal="right"/>
    </xf>
  </cellXfs>
  <cellStyles count="5">
    <cellStyle name="Milliers" xfId="1" builtinId="3"/>
    <cellStyle name="Milliers 4" xfId="3" xr:uid="{97636B4D-0C70-4EF5-9BCE-DAF866F74CCD}"/>
    <cellStyle name="Normal" xfId="0" builtinId="0"/>
    <cellStyle name="Normal 2" xfId="4" xr:uid="{0ADE69A5-6445-4FEE-B950-049217F6D909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6E4A-1038-4E51-9225-41A89501E86E}">
  <dimension ref="A1:E253"/>
  <sheetViews>
    <sheetView tabSelected="1" workbookViewId="0">
      <selection activeCell="B7" sqref="B7"/>
    </sheetView>
  </sheetViews>
  <sheetFormatPr baseColWidth="10" defaultRowHeight="14.4" x14ac:dyDescent="0.3"/>
  <cols>
    <col min="2" max="2" width="31.44140625" customWidth="1"/>
  </cols>
  <sheetData>
    <row r="1" spans="1:5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6">
        <v>69192778.620000005</v>
      </c>
      <c r="D2" s="6">
        <v>82041153.415300012</v>
      </c>
      <c r="E2" s="8">
        <v>69799399.489999995</v>
      </c>
    </row>
    <row r="3" spans="1:5" x14ac:dyDescent="0.3">
      <c r="A3" s="9" t="s">
        <v>7</v>
      </c>
      <c r="B3" s="10" t="s">
        <v>8</v>
      </c>
      <c r="C3" s="6">
        <v>0</v>
      </c>
      <c r="D3" s="6">
        <v>0</v>
      </c>
      <c r="E3" s="6">
        <v>0</v>
      </c>
    </row>
    <row r="4" spans="1:5" x14ac:dyDescent="0.3">
      <c r="A4" s="9" t="s">
        <v>9</v>
      </c>
      <c r="B4" s="10" t="s">
        <v>10</v>
      </c>
      <c r="C4" s="6">
        <v>0</v>
      </c>
      <c r="D4" s="6">
        <v>0</v>
      </c>
      <c r="E4" s="6">
        <v>0</v>
      </c>
    </row>
    <row r="5" spans="1:5" x14ac:dyDescent="0.3">
      <c r="A5" s="9" t="s">
        <v>11</v>
      </c>
      <c r="B5" s="10" t="s">
        <v>12</v>
      </c>
      <c r="C5" s="6">
        <v>0</v>
      </c>
      <c r="D5" s="6">
        <v>0</v>
      </c>
      <c r="E5" s="6">
        <v>0</v>
      </c>
    </row>
    <row r="6" spans="1:5" x14ac:dyDescent="0.3">
      <c r="A6" s="9" t="s">
        <v>13</v>
      </c>
      <c r="B6" s="10" t="s">
        <v>14</v>
      </c>
      <c r="C6" s="6">
        <v>0</v>
      </c>
      <c r="D6" s="6">
        <v>0</v>
      </c>
      <c r="E6" s="6">
        <v>0</v>
      </c>
    </row>
    <row r="7" spans="1:5" ht="15" thickBot="1" x14ac:dyDescent="0.35">
      <c r="A7" s="11" t="s">
        <v>15</v>
      </c>
      <c r="B7" s="11" t="s">
        <v>16</v>
      </c>
      <c r="C7" s="6">
        <v>-7909638</v>
      </c>
      <c r="D7" s="6">
        <v>3931793.3969106646</v>
      </c>
      <c r="E7" s="7">
        <v>5441728.5307024866</v>
      </c>
    </row>
    <row r="8" spans="1:5" ht="15" thickBot="1" x14ac:dyDescent="0.35">
      <c r="A8" s="12"/>
      <c r="B8" s="13" t="s">
        <v>17</v>
      </c>
      <c r="C8" s="13">
        <v>61283140.620000005</v>
      </c>
      <c r="D8" s="13">
        <v>85972946.812210679</v>
      </c>
      <c r="E8" s="13">
        <v>75241128.020702481</v>
      </c>
    </row>
    <row r="9" spans="1:5" ht="21.6" x14ac:dyDescent="0.3">
      <c r="A9" s="14" t="s">
        <v>18</v>
      </c>
      <c r="B9" s="14" t="s">
        <v>19</v>
      </c>
      <c r="C9" s="6">
        <v>-968131.93</v>
      </c>
      <c r="D9" s="6">
        <v>-1050000</v>
      </c>
      <c r="E9" s="6">
        <v>-1011072.25</v>
      </c>
    </row>
    <row r="10" spans="1:5" x14ac:dyDescent="0.3">
      <c r="A10" s="14" t="s">
        <v>20</v>
      </c>
      <c r="B10" s="14" t="s">
        <v>21</v>
      </c>
      <c r="C10" s="6">
        <v>-950011.2855</v>
      </c>
      <c r="D10" s="6">
        <v>-1233582</v>
      </c>
      <c r="E10" s="6">
        <v>-863751.17219999991</v>
      </c>
    </row>
    <row r="11" spans="1:5" x14ac:dyDescent="0.3">
      <c r="A11" s="14" t="s">
        <v>22</v>
      </c>
      <c r="B11" s="14" t="s">
        <v>23</v>
      </c>
      <c r="C11" s="6">
        <v>0</v>
      </c>
      <c r="D11" s="6">
        <v>0</v>
      </c>
      <c r="E11" s="6">
        <v>0</v>
      </c>
    </row>
    <row r="12" spans="1:5" x14ac:dyDescent="0.3">
      <c r="A12" s="14" t="s">
        <v>24</v>
      </c>
      <c r="B12" s="14" t="s">
        <v>25</v>
      </c>
      <c r="C12" s="6">
        <v>0</v>
      </c>
      <c r="D12" s="6">
        <v>0</v>
      </c>
      <c r="E12" s="6">
        <v>0</v>
      </c>
    </row>
    <row r="13" spans="1:5" x14ac:dyDescent="0.3">
      <c r="A13" s="14" t="s">
        <v>26</v>
      </c>
      <c r="B13" s="14" t="s">
        <v>27</v>
      </c>
      <c r="C13" s="6">
        <v>0</v>
      </c>
      <c r="D13" s="6">
        <v>0</v>
      </c>
      <c r="E13" s="6">
        <v>0</v>
      </c>
    </row>
    <row r="14" spans="1:5" x14ac:dyDescent="0.3">
      <c r="A14" s="14" t="s">
        <v>28</v>
      </c>
      <c r="B14" s="14" t="s">
        <v>29</v>
      </c>
      <c r="C14" s="6">
        <v>0</v>
      </c>
      <c r="D14" s="6">
        <v>0</v>
      </c>
      <c r="E14" s="6">
        <v>0</v>
      </c>
    </row>
    <row r="15" spans="1:5" x14ac:dyDescent="0.3">
      <c r="A15" s="14" t="s">
        <v>30</v>
      </c>
      <c r="B15" s="14" t="s">
        <v>31</v>
      </c>
      <c r="C15" s="6">
        <v>-53062.85</v>
      </c>
      <c r="D15" s="6">
        <v>-216831</v>
      </c>
      <c r="E15" s="6">
        <v>-55190.16</v>
      </c>
    </row>
    <row r="16" spans="1:5" x14ac:dyDescent="0.3">
      <c r="A16" s="14" t="s">
        <v>32</v>
      </c>
      <c r="B16" s="14" t="s">
        <v>33</v>
      </c>
      <c r="C16" s="6">
        <v>-2478887.8522999999</v>
      </c>
      <c r="D16" s="6">
        <v>-4178702.2349723685</v>
      </c>
      <c r="E16" s="15">
        <v>-2868366.7008999996</v>
      </c>
    </row>
    <row r="17" spans="1:5" x14ac:dyDescent="0.3">
      <c r="A17" s="14" t="s">
        <v>34</v>
      </c>
      <c r="B17" s="14" t="s">
        <v>35</v>
      </c>
      <c r="C17" s="6">
        <v>0</v>
      </c>
      <c r="D17" s="6">
        <v>0</v>
      </c>
      <c r="E17" s="6">
        <v>0</v>
      </c>
    </row>
    <row r="18" spans="1:5" ht="21.6" x14ac:dyDescent="0.3">
      <c r="A18" s="14" t="s">
        <v>36</v>
      </c>
      <c r="B18" s="14" t="s">
        <v>37</v>
      </c>
      <c r="C18" s="6">
        <v>0</v>
      </c>
      <c r="D18" s="6">
        <v>0</v>
      </c>
      <c r="E18" s="6">
        <v>0</v>
      </c>
    </row>
    <row r="19" spans="1:5" ht="21.6" x14ac:dyDescent="0.3">
      <c r="A19" s="14" t="s">
        <v>38</v>
      </c>
      <c r="B19" s="14" t="s">
        <v>39</v>
      </c>
      <c r="C19" s="6">
        <v>0</v>
      </c>
      <c r="D19" s="6">
        <v>0</v>
      </c>
      <c r="E19" s="6">
        <v>0</v>
      </c>
    </row>
    <row r="20" spans="1:5" x14ac:dyDescent="0.3">
      <c r="A20" s="9" t="s">
        <v>40</v>
      </c>
      <c r="B20" s="10" t="s">
        <v>41</v>
      </c>
      <c r="C20" s="6">
        <v>0</v>
      </c>
      <c r="D20" s="6">
        <v>0</v>
      </c>
      <c r="E20" s="6">
        <v>0</v>
      </c>
    </row>
    <row r="21" spans="1:5" x14ac:dyDescent="0.3">
      <c r="A21" s="9" t="s">
        <v>42</v>
      </c>
      <c r="B21" s="10" t="s">
        <v>43</v>
      </c>
      <c r="C21" s="6">
        <v>0</v>
      </c>
      <c r="D21" s="6">
        <v>0</v>
      </c>
      <c r="E21" s="6">
        <v>0</v>
      </c>
    </row>
    <row r="22" spans="1:5" x14ac:dyDescent="0.3">
      <c r="A22" s="9" t="s">
        <v>44</v>
      </c>
      <c r="B22" s="10" t="s">
        <v>45</v>
      </c>
      <c r="C22" s="6">
        <v>0</v>
      </c>
      <c r="D22" s="6">
        <v>0</v>
      </c>
      <c r="E22" s="6">
        <v>0</v>
      </c>
    </row>
    <row r="23" spans="1:5" x14ac:dyDescent="0.3">
      <c r="A23" s="9" t="s">
        <v>46</v>
      </c>
      <c r="B23" s="10" t="s">
        <v>47</v>
      </c>
      <c r="C23" s="6">
        <v>0</v>
      </c>
      <c r="D23" s="6">
        <v>0</v>
      </c>
      <c r="E23" s="6">
        <v>0</v>
      </c>
    </row>
    <row r="24" spans="1:5" x14ac:dyDescent="0.3">
      <c r="A24" s="9" t="s">
        <v>48</v>
      </c>
      <c r="B24" s="10" t="s">
        <v>49</v>
      </c>
      <c r="C24" s="6">
        <v>0</v>
      </c>
      <c r="D24" s="6">
        <v>0</v>
      </c>
      <c r="E24" s="6">
        <v>0</v>
      </c>
    </row>
    <row r="25" spans="1:5" x14ac:dyDescent="0.3">
      <c r="A25" s="9" t="s">
        <v>50</v>
      </c>
      <c r="B25" s="10" t="s">
        <v>51</v>
      </c>
      <c r="C25" s="6">
        <v>0</v>
      </c>
      <c r="D25" s="6">
        <v>0</v>
      </c>
      <c r="E25" s="6">
        <v>0</v>
      </c>
    </row>
    <row r="26" spans="1:5" x14ac:dyDescent="0.3">
      <c r="A26" s="9" t="s">
        <v>52</v>
      </c>
      <c r="B26" s="10" t="s">
        <v>53</v>
      </c>
      <c r="C26" s="6">
        <v>0</v>
      </c>
      <c r="D26" s="6">
        <v>0</v>
      </c>
      <c r="E26" s="6">
        <v>0</v>
      </c>
    </row>
    <row r="27" spans="1:5" x14ac:dyDescent="0.3">
      <c r="A27" s="9" t="s">
        <v>54</v>
      </c>
      <c r="B27" s="10" t="s">
        <v>55</v>
      </c>
      <c r="C27" s="6">
        <v>0</v>
      </c>
      <c r="D27" s="6">
        <v>0</v>
      </c>
      <c r="E27" s="6">
        <v>0</v>
      </c>
    </row>
    <row r="28" spans="1:5" ht="15" thickBot="1" x14ac:dyDescent="0.35">
      <c r="A28" s="9" t="s">
        <v>56</v>
      </c>
      <c r="B28" s="10" t="s">
        <v>57</v>
      </c>
      <c r="C28" s="6">
        <v>203412.77999999997</v>
      </c>
      <c r="D28" s="6">
        <v>0</v>
      </c>
      <c r="E28" s="6">
        <v>-178791.67</v>
      </c>
    </row>
    <row r="29" spans="1:5" ht="15" thickBot="1" x14ac:dyDescent="0.35">
      <c r="A29" s="16"/>
      <c r="B29" s="16" t="s">
        <v>58</v>
      </c>
      <c r="C29" s="17">
        <v>-4246681.1377999997</v>
      </c>
      <c r="D29" s="17">
        <v>-6679115.2349723689</v>
      </c>
      <c r="E29" s="17">
        <v>-4977171.9530999996</v>
      </c>
    </row>
    <row r="30" spans="1:5" ht="21.6" x14ac:dyDescent="0.3">
      <c r="A30" s="14" t="s">
        <v>59</v>
      </c>
      <c r="B30" s="14" t="s">
        <v>60</v>
      </c>
      <c r="C30" s="6">
        <v>-692000</v>
      </c>
      <c r="D30" s="6">
        <v>-838880</v>
      </c>
      <c r="E30" s="6">
        <v>-639116.4</v>
      </c>
    </row>
    <row r="31" spans="1:5" x14ac:dyDescent="0.3">
      <c r="A31" s="14" t="s">
        <v>61</v>
      </c>
      <c r="B31" s="14" t="s">
        <v>62</v>
      </c>
      <c r="C31" s="6">
        <v>0</v>
      </c>
      <c r="D31" s="6">
        <v>0</v>
      </c>
      <c r="E31" s="6">
        <v>0</v>
      </c>
    </row>
    <row r="32" spans="1:5" x14ac:dyDescent="0.3">
      <c r="A32" s="14" t="s">
        <v>63</v>
      </c>
      <c r="B32" s="14" t="s">
        <v>64</v>
      </c>
      <c r="C32" s="6">
        <v>-465984.17</v>
      </c>
      <c r="D32" s="6">
        <v>-465983</v>
      </c>
      <c r="E32" s="6">
        <v>-465984.15</v>
      </c>
    </row>
    <row r="33" spans="1:5" x14ac:dyDescent="0.3">
      <c r="A33" s="14" t="s">
        <v>65</v>
      </c>
      <c r="B33" s="14" t="s">
        <v>66</v>
      </c>
      <c r="C33" s="6">
        <v>0</v>
      </c>
      <c r="D33" s="6">
        <v>0</v>
      </c>
      <c r="E33" s="6">
        <v>0</v>
      </c>
    </row>
    <row r="34" spans="1:5" x14ac:dyDescent="0.3">
      <c r="A34" s="14" t="s">
        <v>67</v>
      </c>
      <c r="B34" s="14" t="s">
        <v>68</v>
      </c>
      <c r="C34" s="18">
        <v>-692230.96</v>
      </c>
      <c r="D34" s="18">
        <v>-1176000</v>
      </c>
      <c r="E34" s="18">
        <v>-1135800</v>
      </c>
    </row>
    <row r="35" spans="1:5" x14ac:dyDescent="0.3">
      <c r="A35" s="14" t="s">
        <v>69</v>
      </c>
      <c r="B35" s="14" t="s">
        <v>70</v>
      </c>
      <c r="C35" s="6">
        <v>0</v>
      </c>
      <c r="D35" s="6">
        <v>0</v>
      </c>
      <c r="E35" s="6">
        <v>0</v>
      </c>
    </row>
    <row r="36" spans="1:5" x14ac:dyDescent="0.3">
      <c r="A36" s="14" t="s">
        <v>71</v>
      </c>
      <c r="B36" s="14" t="s">
        <v>72</v>
      </c>
      <c r="C36" s="6">
        <v>-2400</v>
      </c>
      <c r="D36" s="6">
        <v>-56250</v>
      </c>
      <c r="E36" s="6">
        <v>-15900</v>
      </c>
    </row>
    <row r="37" spans="1:5" x14ac:dyDescent="0.3">
      <c r="A37" s="14" t="s">
        <v>73</v>
      </c>
      <c r="B37" s="14" t="s">
        <v>74</v>
      </c>
      <c r="C37" s="6">
        <v>-929657.50870000012</v>
      </c>
      <c r="D37" s="6">
        <v>-1856644.0414720068</v>
      </c>
      <c r="E37" s="15">
        <v>-1970696.5828999998</v>
      </c>
    </row>
    <row r="38" spans="1:5" x14ac:dyDescent="0.3">
      <c r="A38" s="14" t="s">
        <v>75</v>
      </c>
      <c r="B38" s="14" t="s">
        <v>76</v>
      </c>
      <c r="C38" s="6">
        <v>-2696722.3797000004</v>
      </c>
      <c r="D38" s="6">
        <v>-3879800.9955642098</v>
      </c>
      <c r="E38" s="6">
        <v>-2798868.9993000003</v>
      </c>
    </row>
    <row r="39" spans="1:5" ht="21.6" x14ac:dyDescent="0.3">
      <c r="A39" s="14" t="s">
        <v>77</v>
      </c>
      <c r="B39" s="14" t="s">
        <v>78</v>
      </c>
      <c r="C39" s="6">
        <v>0</v>
      </c>
      <c r="D39" s="6">
        <v>0</v>
      </c>
      <c r="E39" s="6">
        <v>0</v>
      </c>
    </row>
    <row r="40" spans="1:5" ht="21.6" x14ac:dyDescent="0.3">
      <c r="A40" s="14" t="s">
        <v>79</v>
      </c>
      <c r="B40" s="14" t="s">
        <v>80</v>
      </c>
      <c r="C40" s="6">
        <v>0</v>
      </c>
      <c r="D40" s="6">
        <v>0</v>
      </c>
      <c r="E40" s="6">
        <v>0</v>
      </c>
    </row>
    <row r="41" spans="1:5" x14ac:dyDescent="0.3">
      <c r="A41" s="9" t="s">
        <v>81</v>
      </c>
      <c r="B41" s="10" t="s">
        <v>82</v>
      </c>
      <c r="C41" s="6">
        <v>0</v>
      </c>
      <c r="D41" s="6">
        <v>0</v>
      </c>
      <c r="E41" s="6">
        <v>0</v>
      </c>
    </row>
    <row r="42" spans="1:5" x14ac:dyDescent="0.3">
      <c r="A42" s="9" t="s">
        <v>83</v>
      </c>
      <c r="B42" s="10" t="s">
        <v>84</v>
      </c>
      <c r="C42" s="6">
        <v>0</v>
      </c>
      <c r="D42" s="6">
        <v>0</v>
      </c>
      <c r="E42" s="6">
        <v>0</v>
      </c>
    </row>
    <row r="43" spans="1:5" x14ac:dyDescent="0.3">
      <c r="A43" s="9" t="s">
        <v>85</v>
      </c>
      <c r="B43" s="10" t="s">
        <v>86</v>
      </c>
      <c r="C43" s="6">
        <v>0</v>
      </c>
      <c r="D43" s="6">
        <v>0</v>
      </c>
      <c r="E43" s="6">
        <v>0</v>
      </c>
    </row>
    <row r="44" spans="1:5" x14ac:dyDescent="0.3">
      <c r="A44" s="9" t="s">
        <v>87</v>
      </c>
      <c r="B44" s="10" t="s">
        <v>88</v>
      </c>
      <c r="C44" s="6">
        <v>0</v>
      </c>
      <c r="D44" s="6">
        <v>0</v>
      </c>
      <c r="E44" s="6">
        <v>0</v>
      </c>
    </row>
    <row r="45" spans="1:5" x14ac:dyDescent="0.3">
      <c r="A45" s="9" t="s">
        <v>89</v>
      </c>
      <c r="B45" s="10" t="s">
        <v>90</v>
      </c>
      <c r="C45" s="6">
        <v>0</v>
      </c>
      <c r="D45" s="6">
        <v>0</v>
      </c>
      <c r="E45" s="6">
        <v>0</v>
      </c>
    </row>
    <row r="46" spans="1:5" x14ac:dyDescent="0.3">
      <c r="A46" s="9" t="s">
        <v>91</v>
      </c>
      <c r="B46" s="10" t="s">
        <v>92</v>
      </c>
      <c r="C46" s="6">
        <v>0</v>
      </c>
      <c r="D46" s="6">
        <v>0</v>
      </c>
      <c r="E46" s="6">
        <v>0</v>
      </c>
    </row>
    <row r="47" spans="1:5" x14ac:dyDescent="0.3">
      <c r="A47" s="9" t="s">
        <v>93</v>
      </c>
      <c r="B47" s="10" t="s">
        <v>94</v>
      </c>
      <c r="C47" s="6">
        <v>0</v>
      </c>
      <c r="D47" s="6">
        <v>0</v>
      </c>
      <c r="E47" s="6">
        <v>0</v>
      </c>
    </row>
    <row r="48" spans="1:5" x14ac:dyDescent="0.3">
      <c r="A48" s="9" t="s">
        <v>95</v>
      </c>
      <c r="B48" s="10" t="s">
        <v>96</v>
      </c>
      <c r="C48" s="6">
        <v>0</v>
      </c>
      <c r="D48" s="6">
        <v>0</v>
      </c>
      <c r="E48" s="6">
        <v>0</v>
      </c>
    </row>
    <row r="49" spans="1:5" ht="15" thickBot="1" x14ac:dyDescent="0.35">
      <c r="A49" s="9" t="s">
        <v>97</v>
      </c>
      <c r="B49" s="10" t="s">
        <v>98</v>
      </c>
      <c r="C49" s="6">
        <v>67296.600000000006</v>
      </c>
      <c r="D49" s="6">
        <v>0</v>
      </c>
      <c r="E49" s="6">
        <v>59920.639999999992</v>
      </c>
    </row>
    <row r="50" spans="1:5" ht="15" thickBot="1" x14ac:dyDescent="0.35">
      <c r="A50" s="16"/>
      <c r="B50" s="16" t="s">
        <v>99</v>
      </c>
      <c r="C50" s="17">
        <v>-5411698.4184000008</v>
      </c>
      <c r="D50" s="17">
        <v>-8273558.0370362159</v>
      </c>
      <c r="E50" s="17">
        <v>-6966445.4922000002</v>
      </c>
    </row>
    <row r="51" spans="1:5" ht="21.6" x14ac:dyDescent="0.3">
      <c r="A51" s="14" t="s">
        <v>100</v>
      </c>
      <c r="B51" s="14" t="s">
        <v>101</v>
      </c>
      <c r="C51" s="6">
        <v>-633261.42999999993</v>
      </c>
      <c r="D51" s="6">
        <v>-996981</v>
      </c>
      <c r="E51" s="6">
        <v>-704827.65</v>
      </c>
    </row>
    <row r="52" spans="1:5" x14ac:dyDescent="0.3">
      <c r="A52" s="14" t="s">
        <v>102</v>
      </c>
      <c r="B52" s="14" t="s">
        <v>103</v>
      </c>
      <c r="C52" s="6">
        <v>-347741.86449999997</v>
      </c>
      <c r="D52" s="6">
        <v>-480018</v>
      </c>
      <c r="E52" s="6">
        <v>-309888.20780000009</v>
      </c>
    </row>
    <row r="53" spans="1:5" x14ac:dyDescent="0.3">
      <c r="A53" s="14" t="s">
        <v>104</v>
      </c>
      <c r="B53" s="14" t="s">
        <v>105</v>
      </c>
      <c r="C53" s="6">
        <v>0</v>
      </c>
      <c r="D53" s="6">
        <v>0</v>
      </c>
      <c r="E53" s="6">
        <v>0</v>
      </c>
    </row>
    <row r="54" spans="1:5" x14ac:dyDescent="0.3">
      <c r="A54" s="14" t="s">
        <v>106</v>
      </c>
      <c r="B54" s="14" t="s">
        <v>107</v>
      </c>
      <c r="C54" s="6">
        <v>0</v>
      </c>
      <c r="D54" s="6">
        <v>0</v>
      </c>
      <c r="E54" s="6">
        <v>0</v>
      </c>
    </row>
    <row r="55" spans="1:5" x14ac:dyDescent="0.3">
      <c r="A55" s="14" t="s">
        <v>108</v>
      </c>
      <c r="B55" s="14" t="s">
        <v>109</v>
      </c>
      <c r="C55" s="6">
        <v>0</v>
      </c>
      <c r="D55" s="6">
        <v>0</v>
      </c>
      <c r="E55" s="6">
        <v>0</v>
      </c>
    </row>
    <row r="56" spans="1:5" x14ac:dyDescent="0.3">
      <c r="A56" s="14" t="s">
        <v>110</v>
      </c>
      <c r="B56" s="14" t="s">
        <v>111</v>
      </c>
      <c r="C56" s="6">
        <v>-513448.54170000006</v>
      </c>
      <c r="D56" s="6">
        <v>-929860.58124902251</v>
      </c>
      <c r="E56" s="15">
        <v>-688382.20360000012</v>
      </c>
    </row>
    <row r="57" spans="1:5" x14ac:dyDescent="0.3">
      <c r="A57" s="9" t="s">
        <v>112</v>
      </c>
      <c r="B57" s="10" t="s">
        <v>113</v>
      </c>
      <c r="C57" s="6">
        <v>-256793.29139999996</v>
      </c>
      <c r="D57" s="6">
        <v>-575879.62360246456</v>
      </c>
      <c r="E57" s="6">
        <v>-807921.43270000024</v>
      </c>
    </row>
    <row r="58" spans="1:5" x14ac:dyDescent="0.3">
      <c r="A58" s="9" t="s">
        <v>114</v>
      </c>
      <c r="B58" s="10" t="s">
        <v>115</v>
      </c>
      <c r="C58" s="6">
        <v>0</v>
      </c>
      <c r="D58" s="6">
        <v>0</v>
      </c>
      <c r="E58" s="6">
        <v>0</v>
      </c>
    </row>
    <row r="59" spans="1:5" x14ac:dyDescent="0.3">
      <c r="A59" s="9" t="s">
        <v>116</v>
      </c>
      <c r="B59" s="10" t="s">
        <v>117</v>
      </c>
      <c r="C59" s="6">
        <v>0</v>
      </c>
      <c r="D59" s="6">
        <v>0</v>
      </c>
      <c r="E59" s="6">
        <v>0</v>
      </c>
    </row>
    <row r="60" spans="1:5" x14ac:dyDescent="0.3">
      <c r="A60" s="9" t="s">
        <v>118</v>
      </c>
      <c r="B60" s="10" t="s">
        <v>119</v>
      </c>
      <c r="C60" s="6">
        <v>0</v>
      </c>
      <c r="D60" s="6">
        <v>0</v>
      </c>
      <c r="E60" s="6">
        <v>0</v>
      </c>
    </row>
    <row r="61" spans="1:5" x14ac:dyDescent="0.3">
      <c r="A61" s="9" t="s">
        <v>120</v>
      </c>
      <c r="B61" s="10" t="s">
        <v>121</v>
      </c>
      <c r="C61" s="6">
        <v>0</v>
      </c>
      <c r="D61" s="6">
        <v>0</v>
      </c>
      <c r="E61" s="6">
        <v>0</v>
      </c>
    </row>
    <row r="62" spans="1:5" x14ac:dyDescent="0.3">
      <c r="A62" s="9" t="s">
        <v>122</v>
      </c>
      <c r="B62" s="10" t="s">
        <v>123</v>
      </c>
      <c r="C62" s="6">
        <v>0</v>
      </c>
      <c r="D62" s="6">
        <v>0</v>
      </c>
      <c r="E62" s="6">
        <v>0</v>
      </c>
    </row>
    <row r="63" spans="1:5" x14ac:dyDescent="0.3">
      <c r="A63" s="9" t="s">
        <v>124</v>
      </c>
      <c r="B63" s="10" t="s">
        <v>125</v>
      </c>
      <c r="C63" s="6">
        <v>0</v>
      </c>
      <c r="D63" s="6">
        <v>0</v>
      </c>
      <c r="E63" s="6">
        <v>0</v>
      </c>
    </row>
    <row r="64" spans="1:5" x14ac:dyDescent="0.3">
      <c r="A64" s="9" t="s">
        <v>126</v>
      </c>
      <c r="B64" s="10" t="s">
        <v>127</v>
      </c>
      <c r="C64" s="6">
        <v>0</v>
      </c>
      <c r="D64" s="6">
        <v>0</v>
      </c>
      <c r="E64" s="6">
        <v>0</v>
      </c>
    </row>
    <row r="65" spans="1:5" x14ac:dyDescent="0.3">
      <c r="A65" s="9" t="s">
        <v>128</v>
      </c>
      <c r="B65" s="10" t="s">
        <v>129</v>
      </c>
      <c r="C65" s="6">
        <v>0</v>
      </c>
      <c r="D65" s="6">
        <v>0</v>
      </c>
      <c r="E65" s="6">
        <v>0</v>
      </c>
    </row>
    <row r="66" spans="1:5" x14ac:dyDescent="0.3">
      <c r="A66" s="9" t="s">
        <v>130</v>
      </c>
      <c r="B66" s="10" t="s">
        <v>131</v>
      </c>
      <c r="C66" s="6">
        <v>0</v>
      </c>
      <c r="D66" s="6">
        <v>0</v>
      </c>
      <c r="E66" s="6">
        <v>0</v>
      </c>
    </row>
    <row r="67" spans="1:5" x14ac:dyDescent="0.3">
      <c r="A67" s="9" t="s">
        <v>132</v>
      </c>
      <c r="B67" s="10" t="s">
        <v>133</v>
      </c>
      <c r="C67" s="6">
        <v>0</v>
      </c>
      <c r="D67" s="6">
        <v>0</v>
      </c>
      <c r="E67" s="6">
        <v>0</v>
      </c>
    </row>
    <row r="68" spans="1:5" x14ac:dyDescent="0.3">
      <c r="A68" s="9" t="s">
        <v>134</v>
      </c>
      <c r="B68" s="10" t="s">
        <v>135</v>
      </c>
      <c r="C68" s="6">
        <v>41124.400000000001</v>
      </c>
      <c r="D68" s="6">
        <v>0</v>
      </c>
      <c r="E68" s="6">
        <v>-68553.119999999995</v>
      </c>
    </row>
    <row r="69" spans="1:5" ht="15" thickBot="1" x14ac:dyDescent="0.35">
      <c r="A69" s="9" t="s">
        <v>136</v>
      </c>
      <c r="B69" s="10" t="s">
        <v>137</v>
      </c>
      <c r="C69" s="6">
        <v>0</v>
      </c>
      <c r="D69" s="6">
        <v>0</v>
      </c>
      <c r="E69" s="6">
        <v>0</v>
      </c>
    </row>
    <row r="70" spans="1:5" ht="15" thickBot="1" x14ac:dyDescent="0.35">
      <c r="A70" s="16"/>
      <c r="B70" s="17" t="s">
        <v>138</v>
      </c>
      <c r="C70" s="17">
        <v>-1710120.7275999999</v>
      </c>
      <c r="D70" s="17">
        <v>-2982739.2048514867</v>
      </c>
      <c r="E70" s="17">
        <v>-2579572.6141000008</v>
      </c>
    </row>
    <row r="71" spans="1:5" x14ac:dyDescent="0.3">
      <c r="A71" s="14" t="s">
        <v>139</v>
      </c>
      <c r="B71" s="19" t="s">
        <v>140</v>
      </c>
      <c r="C71" s="6">
        <v>-1720580.08</v>
      </c>
      <c r="D71" s="6">
        <v>-2104850</v>
      </c>
      <c r="E71" s="8">
        <v>-1695432.8199999998</v>
      </c>
    </row>
    <row r="72" spans="1:5" x14ac:dyDescent="0.3">
      <c r="A72" s="14" t="s">
        <v>141</v>
      </c>
      <c r="B72" s="19" t="s">
        <v>142</v>
      </c>
      <c r="C72" s="6">
        <v>0</v>
      </c>
      <c r="D72" s="6">
        <v>0</v>
      </c>
      <c r="E72" s="6">
        <v>0</v>
      </c>
    </row>
    <row r="73" spans="1:5" x14ac:dyDescent="0.3">
      <c r="A73" s="14" t="s">
        <v>143</v>
      </c>
      <c r="B73" s="19" t="s">
        <v>144</v>
      </c>
      <c r="C73" s="6">
        <v>0</v>
      </c>
      <c r="D73" s="6">
        <v>0</v>
      </c>
      <c r="E73" s="6">
        <v>0</v>
      </c>
    </row>
    <row r="74" spans="1:5" x14ac:dyDescent="0.3">
      <c r="A74" s="14" t="s">
        <v>145</v>
      </c>
      <c r="B74" s="19" t="s">
        <v>146</v>
      </c>
      <c r="C74" s="6">
        <v>-28238</v>
      </c>
      <c r="D74" s="6">
        <v>-124215</v>
      </c>
      <c r="E74" s="6">
        <v>-76123.81</v>
      </c>
    </row>
    <row r="75" spans="1:5" x14ac:dyDescent="0.3">
      <c r="A75" s="14" t="s">
        <v>147</v>
      </c>
      <c r="B75" s="19" t="s">
        <v>148</v>
      </c>
      <c r="C75" s="6">
        <v>0</v>
      </c>
      <c r="D75" s="6">
        <v>0</v>
      </c>
      <c r="E75" s="6">
        <v>0</v>
      </c>
    </row>
    <row r="76" spans="1:5" x14ac:dyDescent="0.3">
      <c r="A76" s="14" t="s">
        <v>149</v>
      </c>
      <c r="B76" s="19" t="s">
        <v>150</v>
      </c>
      <c r="C76" s="6">
        <v>0</v>
      </c>
      <c r="D76" s="6">
        <v>0</v>
      </c>
      <c r="E76" s="6">
        <v>0</v>
      </c>
    </row>
    <row r="77" spans="1:5" ht="21.6" x14ac:dyDescent="0.3">
      <c r="A77" s="14" t="s">
        <v>151</v>
      </c>
      <c r="B77" s="19" t="s">
        <v>152</v>
      </c>
      <c r="C77" s="6">
        <v>0</v>
      </c>
      <c r="D77" s="6">
        <v>0</v>
      </c>
      <c r="E77" s="6">
        <v>0</v>
      </c>
    </row>
    <row r="78" spans="1:5" ht="21.6" x14ac:dyDescent="0.3">
      <c r="A78" s="14" t="s">
        <v>153</v>
      </c>
      <c r="B78" s="19" t="s">
        <v>154</v>
      </c>
      <c r="C78" s="6">
        <v>0</v>
      </c>
      <c r="D78" s="6">
        <v>0</v>
      </c>
      <c r="E78" s="6">
        <v>0</v>
      </c>
    </row>
    <row r="79" spans="1:5" ht="21.6" x14ac:dyDescent="0.3">
      <c r="A79" s="14" t="s">
        <v>155</v>
      </c>
      <c r="B79" s="19" t="s">
        <v>156</v>
      </c>
      <c r="C79" s="6">
        <v>0</v>
      </c>
      <c r="D79" s="6">
        <v>0</v>
      </c>
      <c r="E79" s="6">
        <v>0</v>
      </c>
    </row>
    <row r="80" spans="1:5" ht="21.6" x14ac:dyDescent="0.3">
      <c r="A80" s="14" t="s">
        <v>157</v>
      </c>
      <c r="B80" s="19" t="s">
        <v>158</v>
      </c>
      <c r="C80" s="6">
        <v>0</v>
      </c>
      <c r="D80" s="6">
        <v>0</v>
      </c>
      <c r="E80" s="6">
        <v>0</v>
      </c>
    </row>
    <row r="81" spans="1:5" x14ac:dyDescent="0.3">
      <c r="A81" s="9" t="s">
        <v>159</v>
      </c>
      <c r="B81" s="10" t="s">
        <v>160</v>
      </c>
      <c r="C81" s="6">
        <v>0</v>
      </c>
      <c r="D81" s="6">
        <v>0</v>
      </c>
      <c r="E81" s="6">
        <v>0</v>
      </c>
    </row>
    <row r="82" spans="1:5" x14ac:dyDescent="0.3">
      <c r="A82" s="9" t="s">
        <v>161</v>
      </c>
      <c r="B82" s="10" t="s">
        <v>162</v>
      </c>
      <c r="C82" s="6">
        <v>0</v>
      </c>
      <c r="D82" s="6">
        <v>0</v>
      </c>
      <c r="E82" s="6">
        <v>0</v>
      </c>
    </row>
    <row r="83" spans="1:5" x14ac:dyDescent="0.3">
      <c r="A83" s="9" t="s">
        <v>163</v>
      </c>
      <c r="B83" s="10" t="s">
        <v>164</v>
      </c>
      <c r="C83" s="6">
        <v>0</v>
      </c>
      <c r="D83" s="6">
        <v>0</v>
      </c>
      <c r="E83" s="6">
        <v>0</v>
      </c>
    </row>
    <row r="84" spans="1:5" x14ac:dyDescent="0.3">
      <c r="A84" s="9" t="s">
        <v>165</v>
      </c>
      <c r="B84" s="10" t="s">
        <v>166</v>
      </c>
      <c r="C84" s="6">
        <v>0</v>
      </c>
      <c r="D84" s="6">
        <v>0</v>
      </c>
      <c r="E84" s="6">
        <v>0</v>
      </c>
    </row>
    <row r="85" spans="1:5" x14ac:dyDescent="0.3">
      <c r="A85" s="9" t="s">
        <v>167</v>
      </c>
      <c r="B85" s="10" t="s">
        <v>168</v>
      </c>
      <c r="C85" s="6">
        <v>0</v>
      </c>
      <c r="D85" s="6">
        <v>0</v>
      </c>
      <c r="E85" s="6">
        <v>0</v>
      </c>
    </row>
    <row r="86" spans="1:5" ht="15" thickBot="1" x14ac:dyDescent="0.35">
      <c r="A86" s="9" t="s">
        <v>169</v>
      </c>
      <c r="B86" s="10" t="s">
        <v>170</v>
      </c>
      <c r="C86" s="6">
        <v>0</v>
      </c>
      <c r="D86" s="6">
        <v>0</v>
      </c>
      <c r="E86" s="6">
        <v>0</v>
      </c>
    </row>
    <row r="87" spans="1:5" ht="15" thickBot="1" x14ac:dyDescent="0.35">
      <c r="A87" s="16"/>
      <c r="B87" s="17" t="s">
        <v>171</v>
      </c>
      <c r="C87" s="17">
        <v>-1748818.08</v>
      </c>
      <c r="D87" s="17">
        <v>-2229065</v>
      </c>
      <c r="E87" s="17">
        <v>-1771556.63</v>
      </c>
    </row>
    <row r="88" spans="1:5" x14ac:dyDescent="0.3">
      <c r="A88" s="9" t="s">
        <v>172</v>
      </c>
      <c r="B88" s="10" t="s">
        <v>173</v>
      </c>
      <c r="C88" s="6">
        <v>0</v>
      </c>
      <c r="D88" s="6">
        <v>0</v>
      </c>
      <c r="E88" s="6">
        <v>0</v>
      </c>
    </row>
    <row r="89" spans="1:5" x14ac:dyDescent="0.3">
      <c r="A89" s="9" t="s">
        <v>174</v>
      </c>
      <c r="B89" s="10" t="s">
        <v>175</v>
      </c>
      <c r="C89" s="6">
        <v>0</v>
      </c>
      <c r="D89" s="6">
        <v>0</v>
      </c>
      <c r="E89" s="6">
        <v>0</v>
      </c>
    </row>
    <row r="90" spans="1:5" ht="15" thickBot="1" x14ac:dyDescent="0.35">
      <c r="A90" s="9" t="s">
        <v>176</v>
      </c>
      <c r="B90" s="10" t="s">
        <v>177</v>
      </c>
      <c r="C90" s="6">
        <v>0</v>
      </c>
      <c r="D90" s="6">
        <v>0</v>
      </c>
      <c r="E90" s="6">
        <v>0</v>
      </c>
    </row>
    <row r="91" spans="1:5" ht="15" thickBot="1" x14ac:dyDescent="0.35">
      <c r="A91" s="20"/>
      <c r="B91" s="21" t="s">
        <v>178</v>
      </c>
      <c r="C91" s="22">
        <v>0</v>
      </c>
      <c r="D91" s="22">
        <v>0</v>
      </c>
      <c r="E91" s="22">
        <v>0</v>
      </c>
    </row>
    <row r="92" spans="1:5" ht="15" thickBot="1" x14ac:dyDescent="0.35">
      <c r="A92" s="23"/>
      <c r="B92" s="24" t="s">
        <v>179</v>
      </c>
      <c r="C92" s="24">
        <v>-13117318.363800002</v>
      </c>
      <c r="D92" s="24">
        <v>-20164477.476860072</v>
      </c>
      <c r="E92" s="24">
        <v>-16294746.689399999</v>
      </c>
    </row>
    <row r="93" spans="1:5" ht="15" thickBot="1" x14ac:dyDescent="0.35">
      <c r="A93" s="25"/>
      <c r="B93" s="26" t="s">
        <v>180</v>
      </c>
      <c r="C93" s="26">
        <v>48165822.256200008</v>
      </c>
      <c r="D93" s="26">
        <v>65808469.335350603</v>
      </c>
      <c r="E93" s="26">
        <v>58946381.331302479</v>
      </c>
    </row>
    <row r="94" spans="1:5" x14ac:dyDescent="0.3">
      <c r="A94" s="27"/>
      <c r="B94" s="28" t="s">
        <v>181</v>
      </c>
      <c r="C94" s="29">
        <v>0.78595551352146098</v>
      </c>
      <c r="D94" s="29">
        <v>0.76545555055935188</v>
      </c>
      <c r="E94" s="29">
        <v>0.78343298249174931</v>
      </c>
    </row>
    <row r="95" spans="1:5" x14ac:dyDescent="0.3">
      <c r="A95" s="9" t="s">
        <v>182</v>
      </c>
      <c r="B95" s="30" t="s">
        <v>183</v>
      </c>
      <c r="C95" s="6">
        <v>0</v>
      </c>
      <c r="D95" s="6">
        <v>0</v>
      </c>
      <c r="E95" s="6">
        <v>0</v>
      </c>
    </row>
    <row r="96" spans="1:5" x14ac:dyDescent="0.3">
      <c r="A96" s="9" t="s">
        <v>184</v>
      </c>
      <c r="B96" s="10" t="s">
        <v>185</v>
      </c>
      <c r="C96" s="6">
        <v>-203679</v>
      </c>
      <c r="D96" s="6">
        <v>-454755</v>
      </c>
      <c r="E96" s="6">
        <v>-361545.43</v>
      </c>
    </row>
    <row r="97" spans="1:5" x14ac:dyDescent="0.3">
      <c r="A97" s="9" t="s">
        <v>186</v>
      </c>
      <c r="B97" s="10" t="s">
        <v>187</v>
      </c>
      <c r="C97" s="6">
        <v>-129252.96</v>
      </c>
      <c r="D97" s="6">
        <v>-227500</v>
      </c>
      <c r="E97" s="6">
        <v>-265950</v>
      </c>
    </row>
    <row r="98" spans="1:5" x14ac:dyDescent="0.3">
      <c r="A98" s="9" t="s">
        <v>188</v>
      </c>
      <c r="B98" s="10" t="s">
        <v>189</v>
      </c>
      <c r="C98" s="6">
        <v>-2131703.14</v>
      </c>
      <c r="D98" s="31">
        <v>-2138113</v>
      </c>
      <c r="E98" s="31">
        <v>-595318.05000000005</v>
      </c>
    </row>
    <row r="99" spans="1:5" x14ac:dyDescent="0.3">
      <c r="A99" s="9" t="s">
        <v>190</v>
      </c>
      <c r="B99" s="10" t="s">
        <v>191</v>
      </c>
      <c r="C99" s="6">
        <v>-401773.04000000004</v>
      </c>
      <c r="D99" s="32">
        <v>-370706</v>
      </c>
      <c r="E99" s="32">
        <v>-167322.12</v>
      </c>
    </row>
    <row r="100" spans="1:5" x14ac:dyDescent="0.3">
      <c r="A100" s="9" t="s">
        <v>192</v>
      </c>
      <c r="B100" s="10" t="s">
        <v>193</v>
      </c>
      <c r="C100" s="6">
        <v>-511257.28</v>
      </c>
      <c r="D100" s="6">
        <v>-687550</v>
      </c>
      <c r="E100" s="6">
        <v>-734045.48</v>
      </c>
    </row>
    <row r="101" spans="1:5" x14ac:dyDescent="0.3">
      <c r="A101" s="9" t="s">
        <v>194</v>
      </c>
      <c r="B101" s="10" t="s">
        <v>195</v>
      </c>
      <c r="C101" s="6">
        <v>-1712688.0899999999</v>
      </c>
      <c r="D101" s="6">
        <v>-948499</v>
      </c>
      <c r="E101" s="6">
        <v>-1056102.8400000001</v>
      </c>
    </row>
    <row r="102" spans="1:5" x14ac:dyDescent="0.3">
      <c r="A102" s="9" t="s">
        <v>196</v>
      </c>
      <c r="B102" s="10" t="s">
        <v>197</v>
      </c>
      <c r="C102" s="6">
        <v>-120165</v>
      </c>
      <c r="D102" s="6">
        <v>-81669</v>
      </c>
      <c r="E102" s="6">
        <v>-68980</v>
      </c>
    </row>
    <row r="103" spans="1:5" x14ac:dyDescent="0.3">
      <c r="A103" s="9" t="s">
        <v>198</v>
      </c>
      <c r="B103" s="10" t="s">
        <v>199</v>
      </c>
      <c r="C103" s="6">
        <v>0</v>
      </c>
      <c r="D103" s="6">
        <v>0</v>
      </c>
      <c r="E103" s="6">
        <v>0</v>
      </c>
    </row>
    <row r="104" spans="1:5" x14ac:dyDescent="0.3">
      <c r="A104" s="9" t="s">
        <v>200</v>
      </c>
      <c r="B104" s="10" t="s">
        <v>201</v>
      </c>
      <c r="C104" s="6">
        <v>0</v>
      </c>
      <c r="D104" s="6">
        <v>0</v>
      </c>
      <c r="E104" s="6">
        <v>0</v>
      </c>
    </row>
    <row r="105" spans="1:5" x14ac:dyDescent="0.3">
      <c r="A105" s="9" t="s">
        <v>202</v>
      </c>
      <c r="B105" s="10" t="s">
        <v>203</v>
      </c>
      <c r="C105" s="6">
        <v>-771287.03</v>
      </c>
      <c r="D105" s="6">
        <v>-875000.33333000005</v>
      </c>
      <c r="E105" s="6">
        <v>-856628.21</v>
      </c>
    </row>
    <row r="106" spans="1:5" x14ac:dyDescent="0.3">
      <c r="A106" s="9" t="s">
        <v>204</v>
      </c>
      <c r="B106" s="10" t="s">
        <v>205</v>
      </c>
      <c r="C106" s="6">
        <v>-272058.52</v>
      </c>
      <c r="D106" s="6">
        <v>-558733</v>
      </c>
      <c r="E106" s="6">
        <v>-574967.85</v>
      </c>
    </row>
    <row r="107" spans="1:5" x14ac:dyDescent="0.3">
      <c r="A107" s="9" t="s">
        <v>206</v>
      </c>
      <c r="B107" s="10" t="s">
        <v>207</v>
      </c>
      <c r="C107" s="6">
        <v>-135328.85</v>
      </c>
      <c r="D107" s="6">
        <v>-204169</v>
      </c>
      <c r="E107" s="6">
        <v>-180172.7</v>
      </c>
    </row>
    <row r="108" spans="1:5" x14ac:dyDescent="0.3">
      <c r="A108" s="9" t="s">
        <v>208</v>
      </c>
      <c r="B108" s="10" t="s">
        <v>209</v>
      </c>
      <c r="C108" s="6">
        <v>-1453222.0400000003</v>
      </c>
      <c r="D108" s="31">
        <v>-3298940</v>
      </c>
      <c r="E108" s="31">
        <v>-3658496.5700000003</v>
      </c>
    </row>
    <row r="109" spans="1:5" ht="15" thickBot="1" x14ac:dyDescent="0.35">
      <c r="A109" s="9" t="s">
        <v>210</v>
      </c>
      <c r="B109" s="10" t="s">
        <v>211</v>
      </c>
      <c r="C109" s="6">
        <v>1273184.0099999998</v>
      </c>
      <c r="D109" s="31">
        <v>0</v>
      </c>
      <c r="E109" s="31">
        <v>557663.35</v>
      </c>
    </row>
    <row r="110" spans="1:5" ht="15" thickBot="1" x14ac:dyDescent="0.35">
      <c r="A110" s="33"/>
      <c r="B110" s="34" t="s">
        <v>212</v>
      </c>
      <c r="C110" s="34">
        <v>-6569230.9400000004</v>
      </c>
      <c r="D110" s="34">
        <v>-9845634.3333299998</v>
      </c>
      <c r="E110" s="34">
        <v>-7961865.9000000004</v>
      </c>
    </row>
    <row r="111" spans="1:5" x14ac:dyDescent="0.3">
      <c r="A111" s="9" t="s">
        <v>213</v>
      </c>
      <c r="B111" s="10" t="s">
        <v>214</v>
      </c>
      <c r="C111" s="6">
        <v>-14781.01</v>
      </c>
      <c r="D111" s="6">
        <v>-70875</v>
      </c>
      <c r="E111" s="6">
        <v>-21394</v>
      </c>
    </row>
    <row r="112" spans="1:5" ht="15" thickBot="1" x14ac:dyDescent="0.35">
      <c r="A112" s="9" t="s">
        <v>215</v>
      </c>
      <c r="B112" s="10" t="s">
        <v>216</v>
      </c>
      <c r="C112" s="6">
        <v>0</v>
      </c>
      <c r="D112" s="6">
        <v>0</v>
      </c>
      <c r="E112" s="6">
        <v>0</v>
      </c>
    </row>
    <row r="113" spans="1:5" ht="15" thickBot="1" x14ac:dyDescent="0.35">
      <c r="A113" s="35"/>
      <c r="B113" s="36" t="s">
        <v>217</v>
      </c>
      <c r="C113" s="37">
        <v>-14781.01</v>
      </c>
      <c r="D113" s="37">
        <v>-70875</v>
      </c>
      <c r="E113" s="37">
        <v>-21394</v>
      </c>
    </row>
    <row r="114" spans="1:5" x14ac:dyDescent="0.3">
      <c r="A114" s="9" t="s">
        <v>218</v>
      </c>
      <c r="B114" s="10" t="s">
        <v>219</v>
      </c>
      <c r="C114" s="6">
        <v>-8589576.2762000002</v>
      </c>
      <c r="D114" s="6">
        <v>-9570229.1631399374</v>
      </c>
      <c r="E114" s="15">
        <v>-7779711.5706000011</v>
      </c>
    </row>
    <row r="115" spans="1:5" x14ac:dyDescent="0.3">
      <c r="A115" s="9" t="s">
        <v>220</v>
      </c>
      <c r="B115" s="10" t="s">
        <v>221</v>
      </c>
      <c r="C115" s="6">
        <v>0</v>
      </c>
      <c r="D115" s="6">
        <v>0</v>
      </c>
      <c r="E115" s="6">
        <v>0</v>
      </c>
    </row>
    <row r="116" spans="1:5" x14ac:dyDescent="0.3">
      <c r="A116" s="9" t="s">
        <v>222</v>
      </c>
      <c r="B116" s="10" t="s">
        <v>223</v>
      </c>
      <c r="C116" s="6">
        <v>0</v>
      </c>
      <c r="D116" s="6">
        <v>0</v>
      </c>
      <c r="E116" s="6">
        <v>0</v>
      </c>
    </row>
    <row r="117" spans="1:5" x14ac:dyDescent="0.3">
      <c r="A117" s="30" t="s">
        <v>224</v>
      </c>
      <c r="B117" s="30" t="s">
        <v>225</v>
      </c>
      <c r="C117" s="6">
        <v>0</v>
      </c>
      <c r="D117" s="6">
        <v>0</v>
      </c>
      <c r="E117" s="6">
        <v>0</v>
      </c>
    </row>
    <row r="118" spans="1:5" ht="15" thickBot="1" x14ac:dyDescent="0.35">
      <c r="A118" s="9" t="s">
        <v>226</v>
      </c>
      <c r="B118" s="10" t="s">
        <v>227</v>
      </c>
      <c r="C118" s="6">
        <v>0</v>
      </c>
      <c r="D118" s="6">
        <v>0</v>
      </c>
      <c r="E118" s="6">
        <v>0</v>
      </c>
    </row>
    <row r="119" spans="1:5" ht="15" thickBot="1" x14ac:dyDescent="0.35">
      <c r="A119" s="33"/>
      <c r="B119" s="33" t="s">
        <v>228</v>
      </c>
      <c r="C119" s="34">
        <v>-8589576.2762000002</v>
      </c>
      <c r="D119" s="34">
        <v>-9570229.1631399374</v>
      </c>
      <c r="E119" s="34">
        <v>-7779711.5706000011</v>
      </c>
    </row>
    <row r="120" spans="1:5" x14ac:dyDescent="0.3">
      <c r="A120" s="9" t="s">
        <v>229</v>
      </c>
      <c r="B120" s="30" t="s">
        <v>230</v>
      </c>
      <c r="C120" s="6">
        <v>0</v>
      </c>
      <c r="D120" s="6">
        <v>0</v>
      </c>
      <c r="E120" s="6">
        <v>0</v>
      </c>
    </row>
    <row r="121" spans="1:5" x14ac:dyDescent="0.3">
      <c r="A121" s="9" t="s">
        <v>231</v>
      </c>
      <c r="B121" s="10" t="s">
        <v>232</v>
      </c>
      <c r="C121" s="6">
        <v>0</v>
      </c>
      <c r="D121" s="6">
        <v>0</v>
      </c>
      <c r="E121" s="6">
        <v>0</v>
      </c>
    </row>
    <row r="122" spans="1:5" x14ac:dyDescent="0.3">
      <c r="A122" s="9" t="s">
        <v>233</v>
      </c>
      <c r="B122" s="10" t="s">
        <v>234</v>
      </c>
      <c r="C122" s="6">
        <v>0</v>
      </c>
      <c r="D122" s="6">
        <v>0</v>
      </c>
      <c r="E122" s="6">
        <v>0</v>
      </c>
    </row>
    <row r="123" spans="1:5" x14ac:dyDescent="0.3">
      <c r="A123" s="9" t="s">
        <v>235</v>
      </c>
      <c r="B123" s="10" t="s">
        <v>236</v>
      </c>
      <c r="C123" s="6">
        <v>0</v>
      </c>
      <c r="D123" s="6">
        <v>0</v>
      </c>
      <c r="E123" s="6">
        <v>0</v>
      </c>
    </row>
    <row r="124" spans="1:5" x14ac:dyDescent="0.3">
      <c r="A124" s="9" t="s">
        <v>237</v>
      </c>
      <c r="B124" s="10" t="s">
        <v>238</v>
      </c>
      <c r="C124" s="6">
        <v>0</v>
      </c>
      <c r="D124" s="6">
        <v>0</v>
      </c>
      <c r="E124" s="6">
        <v>0</v>
      </c>
    </row>
    <row r="125" spans="1:5" x14ac:dyDescent="0.3">
      <c r="A125" s="9" t="s">
        <v>239</v>
      </c>
      <c r="B125" s="10" t="s">
        <v>240</v>
      </c>
      <c r="C125" s="6">
        <v>0</v>
      </c>
      <c r="D125" s="6">
        <v>0</v>
      </c>
      <c r="E125" s="6">
        <v>0</v>
      </c>
    </row>
    <row r="126" spans="1:5" x14ac:dyDescent="0.3">
      <c r="A126" s="9" t="s">
        <v>241</v>
      </c>
      <c r="B126" s="10" t="s">
        <v>242</v>
      </c>
      <c r="C126" s="6">
        <v>0</v>
      </c>
      <c r="D126" s="6">
        <v>0</v>
      </c>
      <c r="E126" s="6">
        <v>0</v>
      </c>
    </row>
    <row r="127" spans="1:5" x14ac:dyDescent="0.3">
      <c r="A127" s="9" t="s">
        <v>243</v>
      </c>
      <c r="B127" s="10" t="s">
        <v>244</v>
      </c>
      <c r="C127" s="6">
        <v>0</v>
      </c>
      <c r="D127" s="6">
        <v>0</v>
      </c>
      <c r="E127" s="6">
        <v>0</v>
      </c>
    </row>
    <row r="128" spans="1:5" ht="15" thickBot="1" x14ac:dyDescent="0.35">
      <c r="A128" s="9" t="s">
        <v>245</v>
      </c>
      <c r="B128" s="10" t="s">
        <v>246</v>
      </c>
      <c r="C128" s="6">
        <v>0</v>
      </c>
      <c r="D128" s="6">
        <v>0</v>
      </c>
      <c r="E128" s="6">
        <v>0</v>
      </c>
    </row>
    <row r="129" spans="1:5" ht="15" thickBot="1" x14ac:dyDescent="0.35">
      <c r="A129" s="35"/>
      <c r="B129" s="35" t="s">
        <v>247</v>
      </c>
      <c r="C129" s="37">
        <v>0</v>
      </c>
      <c r="D129" s="37">
        <v>0</v>
      </c>
      <c r="E129" s="37">
        <v>0</v>
      </c>
    </row>
    <row r="130" spans="1:5" x14ac:dyDescent="0.3">
      <c r="A130" s="9" t="s">
        <v>248</v>
      </c>
      <c r="B130" s="10" t="s">
        <v>249</v>
      </c>
      <c r="C130" s="6">
        <v>0</v>
      </c>
      <c r="D130" s="6">
        <v>0</v>
      </c>
      <c r="E130" s="6">
        <v>0</v>
      </c>
    </row>
    <row r="131" spans="1:5" x14ac:dyDescent="0.3">
      <c r="A131" s="9" t="s">
        <v>250</v>
      </c>
      <c r="B131" s="10" t="s">
        <v>251</v>
      </c>
      <c r="C131" s="6">
        <v>0</v>
      </c>
      <c r="D131" s="6">
        <v>0</v>
      </c>
      <c r="E131" s="6">
        <v>0</v>
      </c>
    </row>
    <row r="132" spans="1:5" x14ac:dyDescent="0.3">
      <c r="A132" s="9" t="s">
        <v>252</v>
      </c>
      <c r="B132" s="10" t="s">
        <v>253</v>
      </c>
      <c r="C132" s="6">
        <v>0</v>
      </c>
      <c r="D132" s="6">
        <v>0</v>
      </c>
      <c r="E132" s="6">
        <v>0</v>
      </c>
    </row>
    <row r="133" spans="1:5" x14ac:dyDescent="0.3">
      <c r="A133" s="9" t="s">
        <v>254</v>
      </c>
      <c r="B133" s="10" t="s">
        <v>255</v>
      </c>
      <c r="C133" s="6">
        <v>0</v>
      </c>
      <c r="D133" s="6">
        <v>0</v>
      </c>
      <c r="E133" s="6">
        <v>0</v>
      </c>
    </row>
    <row r="134" spans="1:5" x14ac:dyDescent="0.3">
      <c r="A134" s="9" t="s">
        <v>256</v>
      </c>
      <c r="B134" s="10" t="s">
        <v>257</v>
      </c>
      <c r="C134" s="6">
        <v>16.61</v>
      </c>
      <c r="D134" s="6">
        <v>0</v>
      </c>
      <c r="E134" s="6">
        <v>35.29</v>
      </c>
    </row>
    <row r="135" spans="1:5" x14ac:dyDescent="0.3">
      <c r="A135" s="9" t="s">
        <v>258</v>
      </c>
      <c r="B135" s="10" t="s">
        <v>259</v>
      </c>
      <c r="C135" s="6">
        <v>0</v>
      </c>
      <c r="D135" s="6">
        <v>0</v>
      </c>
      <c r="E135" s="6">
        <v>0</v>
      </c>
    </row>
    <row r="136" spans="1:5" x14ac:dyDescent="0.3">
      <c r="A136" s="9" t="s">
        <v>260</v>
      </c>
      <c r="B136" s="10" t="s">
        <v>261</v>
      </c>
      <c r="C136" s="6">
        <v>0</v>
      </c>
      <c r="D136" s="6">
        <v>0</v>
      </c>
      <c r="E136" s="6">
        <v>0</v>
      </c>
    </row>
    <row r="137" spans="1:5" x14ac:dyDescent="0.3">
      <c r="A137" s="9" t="s">
        <v>262</v>
      </c>
      <c r="B137" s="30" t="s">
        <v>263</v>
      </c>
      <c r="C137" s="6">
        <v>0</v>
      </c>
      <c r="D137" s="6">
        <v>0</v>
      </c>
      <c r="E137" s="6">
        <v>0</v>
      </c>
    </row>
    <row r="138" spans="1:5" x14ac:dyDescent="0.3">
      <c r="A138" s="9" t="s">
        <v>264</v>
      </c>
      <c r="B138" s="10" t="s">
        <v>265</v>
      </c>
      <c r="C138" s="6">
        <v>-23.1</v>
      </c>
      <c r="D138" s="6">
        <v>0</v>
      </c>
      <c r="E138" s="6">
        <v>-3.33</v>
      </c>
    </row>
    <row r="139" spans="1:5" x14ac:dyDescent="0.3">
      <c r="A139" s="9" t="s">
        <v>266</v>
      </c>
      <c r="B139" s="10" t="s">
        <v>267</v>
      </c>
      <c r="C139" s="6">
        <v>0</v>
      </c>
      <c r="D139" s="6">
        <v>0</v>
      </c>
      <c r="E139" s="6">
        <v>0</v>
      </c>
    </row>
    <row r="140" spans="1:5" x14ac:dyDescent="0.3">
      <c r="A140" s="9" t="s">
        <v>268</v>
      </c>
      <c r="B140" s="10" t="s">
        <v>269</v>
      </c>
      <c r="C140" s="6">
        <v>0</v>
      </c>
      <c r="D140" s="6">
        <v>0</v>
      </c>
      <c r="E140" s="6">
        <v>0</v>
      </c>
    </row>
    <row r="141" spans="1:5" ht="15" thickBot="1" x14ac:dyDescent="0.35">
      <c r="A141" s="9" t="s">
        <v>270</v>
      </c>
      <c r="B141" s="10" t="s">
        <v>271</v>
      </c>
      <c r="C141" s="6">
        <v>0</v>
      </c>
      <c r="D141" s="6">
        <v>0</v>
      </c>
      <c r="E141" s="6">
        <v>0</v>
      </c>
    </row>
    <row r="142" spans="1:5" ht="15" thickBot="1" x14ac:dyDescent="0.35">
      <c r="A142" s="35"/>
      <c r="B142" s="38" t="s">
        <v>272</v>
      </c>
      <c r="C142" s="37">
        <v>-6.490000000000002</v>
      </c>
      <c r="D142" s="37">
        <v>0</v>
      </c>
      <c r="E142" s="37">
        <v>31.96</v>
      </c>
    </row>
    <row r="143" spans="1:5" ht="15" thickBot="1" x14ac:dyDescent="0.35">
      <c r="A143" s="23"/>
      <c r="B143" s="23" t="s">
        <v>273</v>
      </c>
      <c r="C143" s="24">
        <v>-15173594.7162</v>
      </c>
      <c r="D143" s="24">
        <v>-19486738.496469937</v>
      </c>
      <c r="E143" s="24">
        <v>-15762939.510600001</v>
      </c>
    </row>
    <row r="144" spans="1:5" ht="15" thickBot="1" x14ac:dyDescent="0.35">
      <c r="A144" s="25"/>
      <c r="B144" s="25" t="s">
        <v>274</v>
      </c>
      <c r="C144" s="26">
        <v>32992227.540000014</v>
      </c>
      <c r="D144" s="26">
        <v>46321730.838880666</v>
      </c>
      <c r="E144" s="26">
        <v>43183441.820702478</v>
      </c>
    </row>
    <row r="145" spans="1:5" x14ac:dyDescent="0.3">
      <c r="A145" s="27"/>
      <c r="B145" s="27" t="s">
        <v>275</v>
      </c>
      <c r="C145" s="39">
        <v>0.53835732317597418</v>
      </c>
      <c r="D145" s="39">
        <v>0.53879426675998987</v>
      </c>
      <c r="E145" s="39">
        <v>0.57393400333951161</v>
      </c>
    </row>
    <row r="146" spans="1:5" x14ac:dyDescent="0.3">
      <c r="A146" s="9" t="s">
        <v>276</v>
      </c>
      <c r="B146" s="10" t="s">
        <v>277</v>
      </c>
      <c r="C146" s="6">
        <v>0</v>
      </c>
      <c r="D146" s="6">
        <v>0</v>
      </c>
      <c r="E146" s="6">
        <v>0</v>
      </c>
    </row>
    <row r="147" spans="1:5" x14ac:dyDescent="0.3">
      <c r="A147" s="9" t="s">
        <v>278</v>
      </c>
      <c r="B147" s="10" t="s">
        <v>279</v>
      </c>
      <c r="C147" s="6">
        <v>-6969092.1999999993</v>
      </c>
      <c r="D147" s="6">
        <v>-6921237</v>
      </c>
      <c r="E147" s="6">
        <v>-6302057.9700000007</v>
      </c>
    </row>
    <row r="148" spans="1:5" x14ac:dyDescent="0.3">
      <c r="A148" s="9" t="s">
        <v>280</v>
      </c>
      <c r="B148" s="10" t="s">
        <v>281</v>
      </c>
      <c r="C148" s="6">
        <v>0</v>
      </c>
      <c r="D148" s="6">
        <v>0</v>
      </c>
      <c r="E148" s="6">
        <v>0</v>
      </c>
    </row>
    <row r="149" spans="1:5" x14ac:dyDescent="0.3">
      <c r="A149" s="9" t="s">
        <v>282</v>
      </c>
      <c r="B149" s="10" t="s">
        <v>283</v>
      </c>
      <c r="C149" s="6">
        <v>0</v>
      </c>
      <c r="D149" s="6">
        <v>0</v>
      </c>
      <c r="E149" s="6">
        <v>0</v>
      </c>
    </row>
    <row r="150" spans="1:5" ht="15" thickBot="1" x14ac:dyDescent="0.35">
      <c r="A150" s="9" t="s">
        <v>284</v>
      </c>
      <c r="B150" s="10" t="s">
        <v>285</v>
      </c>
      <c r="C150" s="6">
        <v>0</v>
      </c>
      <c r="D150" s="6">
        <v>0</v>
      </c>
      <c r="E150" s="6">
        <v>0</v>
      </c>
    </row>
    <row r="151" spans="1:5" ht="21" thickBot="1" x14ac:dyDescent="0.35">
      <c r="A151" s="35"/>
      <c r="B151" s="35" t="s">
        <v>286</v>
      </c>
      <c r="C151" s="37">
        <v>-6969092.1999999993</v>
      </c>
      <c r="D151" s="37">
        <v>-6921237</v>
      </c>
      <c r="E151" s="37">
        <v>-6302057.9700000007</v>
      </c>
    </row>
    <row r="152" spans="1:5" x14ac:dyDescent="0.3">
      <c r="A152" s="9" t="s">
        <v>287</v>
      </c>
      <c r="B152" s="10" t="s">
        <v>288</v>
      </c>
      <c r="C152" s="6">
        <v>0</v>
      </c>
      <c r="D152" s="6">
        <v>0</v>
      </c>
      <c r="E152" s="6">
        <v>0</v>
      </c>
    </row>
    <row r="153" spans="1:5" x14ac:dyDescent="0.3">
      <c r="A153" s="9" t="s">
        <v>289</v>
      </c>
      <c r="B153" s="10" t="s">
        <v>290</v>
      </c>
      <c r="C153" s="6">
        <v>0</v>
      </c>
      <c r="D153" s="6">
        <v>0</v>
      </c>
      <c r="E153" s="6">
        <v>0</v>
      </c>
    </row>
    <row r="154" spans="1:5" x14ac:dyDescent="0.3">
      <c r="A154" s="9" t="s">
        <v>291</v>
      </c>
      <c r="B154" s="10" t="s">
        <v>292</v>
      </c>
      <c r="C154" s="6">
        <v>0</v>
      </c>
      <c r="D154" s="6">
        <v>0</v>
      </c>
      <c r="E154" s="6">
        <v>0</v>
      </c>
    </row>
    <row r="155" spans="1:5" x14ac:dyDescent="0.3">
      <c r="A155" s="9" t="s">
        <v>293</v>
      </c>
      <c r="B155" s="10" t="s">
        <v>294</v>
      </c>
      <c r="C155" s="6">
        <v>0</v>
      </c>
      <c r="D155" s="6">
        <v>0</v>
      </c>
      <c r="E155" s="6">
        <v>0</v>
      </c>
    </row>
    <row r="156" spans="1:5" x14ac:dyDescent="0.3">
      <c r="A156" s="9" t="s">
        <v>295</v>
      </c>
      <c r="B156" s="10" t="s">
        <v>296</v>
      </c>
      <c r="C156" s="6">
        <v>0</v>
      </c>
      <c r="D156" s="6">
        <v>0</v>
      </c>
      <c r="E156" s="6">
        <v>0</v>
      </c>
    </row>
    <row r="157" spans="1:5" x14ac:dyDescent="0.3">
      <c r="A157" s="9" t="s">
        <v>297</v>
      </c>
      <c r="B157" s="10" t="s">
        <v>298</v>
      </c>
      <c r="C157" s="6">
        <v>0</v>
      </c>
      <c r="D157" s="6">
        <v>0</v>
      </c>
      <c r="E157" s="6">
        <v>0</v>
      </c>
    </row>
    <row r="158" spans="1:5" x14ac:dyDescent="0.3">
      <c r="A158" s="9" t="s">
        <v>299</v>
      </c>
      <c r="B158" s="10" t="s">
        <v>300</v>
      </c>
      <c r="C158" s="6">
        <v>0</v>
      </c>
      <c r="D158" s="6">
        <v>0</v>
      </c>
      <c r="E158" s="6">
        <v>0</v>
      </c>
    </row>
    <row r="159" spans="1:5" x14ac:dyDescent="0.3">
      <c r="A159" s="9" t="s">
        <v>301</v>
      </c>
      <c r="B159" s="10" t="s">
        <v>302</v>
      </c>
      <c r="C159" s="6">
        <v>0</v>
      </c>
      <c r="D159" s="6">
        <v>0</v>
      </c>
      <c r="E159" s="6">
        <v>0</v>
      </c>
    </row>
    <row r="160" spans="1:5" x14ac:dyDescent="0.3">
      <c r="A160" s="9" t="s">
        <v>303</v>
      </c>
      <c r="B160" s="10" t="s">
        <v>304</v>
      </c>
      <c r="C160" s="6">
        <v>0</v>
      </c>
      <c r="D160" s="6">
        <v>0</v>
      </c>
      <c r="E160" s="6">
        <v>0</v>
      </c>
    </row>
    <row r="161" spans="1:5" x14ac:dyDescent="0.3">
      <c r="A161" s="9" t="s">
        <v>305</v>
      </c>
      <c r="B161" s="10" t="s">
        <v>306</v>
      </c>
      <c r="C161" s="6">
        <v>0</v>
      </c>
      <c r="D161" s="6">
        <v>0</v>
      </c>
      <c r="E161" s="6">
        <v>0</v>
      </c>
    </row>
    <row r="162" spans="1:5" x14ac:dyDescent="0.3">
      <c r="A162" s="9" t="s">
        <v>307</v>
      </c>
      <c r="B162" s="10" t="s">
        <v>308</v>
      </c>
      <c r="C162" s="6">
        <v>0</v>
      </c>
      <c r="D162" s="6">
        <v>0</v>
      </c>
      <c r="E162" s="6">
        <v>0</v>
      </c>
    </row>
    <row r="163" spans="1:5" x14ac:dyDescent="0.3">
      <c r="A163" s="9" t="s">
        <v>309</v>
      </c>
      <c r="B163" s="10" t="s">
        <v>310</v>
      </c>
      <c r="C163" s="6">
        <v>0</v>
      </c>
      <c r="D163" s="6">
        <v>0</v>
      </c>
      <c r="E163" s="6">
        <v>0</v>
      </c>
    </row>
    <row r="164" spans="1:5" ht="15" thickBot="1" x14ac:dyDescent="0.35">
      <c r="A164" s="9" t="s">
        <v>311</v>
      </c>
      <c r="B164" s="10" t="s">
        <v>312</v>
      </c>
      <c r="C164" s="6">
        <v>0</v>
      </c>
      <c r="D164" s="6">
        <v>0</v>
      </c>
      <c r="E164" s="6">
        <v>0</v>
      </c>
    </row>
    <row r="165" spans="1:5" ht="21" thickBot="1" x14ac:dyDescent="0.35">
      <c r="A165" s="35"/>
      <c r="B165" s="35" t="s">
        <v>313</v>
      </c>
      <c r="C165" s="37">
        <v>0</v>
      </c>
      <c r="D165" s="37">
        <v>0</v>
      </c>
      <c r="E165" s="37">
        <v>0</v>
      </c>
    </row>
    <row r="166" spans="1:5" x14ac:dyDescent="0.3">
      <c r="A166" s="9" t="s">
        <v>314</v>
      </c>
      <c r="B166" s="10" t="s">
        <v>315</v>
      </c>
      <c r="C166" s="6">
        <v>0</v>
      </c>
      <c r="D166" s="6">
        <v>0</v>
      </c>
      <c r="E166" s="6">
        <v>0</v>
      </c>
    </row>
    <row r="167" spans="1:5" x14ac:dyDescent="0.3">
      <c r="A167" s="9" t="s">
        <v>316</v>
      </c>
      <c r="B167" s="10" t="s">
        <v>317</v>
      </c>
      <c r="C167" s="6">
        <v>0</v>
      </c>
      <c r="D167" s="6">
        <v>0</v>
      </c>
      <c r="E167" s="6">
        <v>0</v>
      </c>
    </row>
    <row r="168" spans="1:5" x14ac:dyDescent="0.3">
      <c r="A168" s="9" t="s">
        <v>318</v>
      </c>
      <c r="B168" s="10" t="s">
        <v>319</v>
      </c>
      <c r="C168" s="6">
        <v>0</v>
      </c>
      <c r="D168" s="6">
        <v>0</v>
      </c>
      <c r="E168" s="6">
        <v>0</v>
      </c>
    </row>
    <row r="169" spans="1:5" ht="15" thickBot="1" x14ac:dyDescent="0.35">
      <c r="A169" s="9" t="s">
        <v>320</v>
      </c>
      <c r="B169" s="10" t="s">
        <v>321</v>
      </c>
      <c r="C169" s="6">
        <v>0</v>
      </c>
      <c r="D169" s="6">
        <v>0</v>
      </c>
      <c r="E169" s="6">
        <v>0</v>
      </c>
    </row>
    <row r="170" spans="1:5" ht="15" thickBot="1" x14ac:dyDescent="0.35">
      <c r="A170" s="35"/>
      <c r="B170" s="35" t="s">
        <v>322</v>
      </c>
      <c r="C170" s="37">
        <v>0</v>
      </c>
      <c r="D170" s="37">
        <v>0</v>
      </c>
      <c r="E170" s="37">
        <v>0</v>
      </c>
    </row>
    <row r="171" spans="1:5" x14ac:dyDescent="0.3">
      <c r="A171" s="9" t="s">
        <v>323</v>
      </c>
      <c r="B171" s="10" t="s">
        <v>324</v>
      </c>
      <c r="C171" s="6">
        <v>0</v>
      </c>
      <c r="D171" s="6">
        <v>0</v>
      </c>
      <c r="E171" s="6">
        <v>0</v>
      </c>
    </row>
    <row r="172" spans="1:5" x14ac:dyDescent="0.3">
      <c r="A172" s="9" t="s">
        <v>325</v>
      </c>
      <c r="B172" s="10" t="s">
        <v>326</v>
      </c>
      <c r="C172" s="6">
        <v>0</v>
      </c>
      <c r="D172" s="6">
        <v>0</v>
      </c>
      <c r="E172" s="6">
        <v>0</v>
      </c>
    </row>
    <row r="173" spans="1:5" x14ac:dyDescent="0.3">
      <c r="A173" s="9" t="s">
        <v>327</v>
      </c>
      <c r="B173" s="10" t="s">
        <v>328</v>
      </c>
      <c r="C173" s="6">
        <v>0</v>
      </c>
      <c r="D173" s="6">
        <v>0</v>
      </c>
      <c r="E173" s="6">
        <v>0</v>
      </c>
    </row>
    <row r="174" spans="1:5" x14ac:dyDescent="0.3">
      <c r="A174" s="9" t="s">
        <v>329</v>
      </c>
      <c r="B174" s="10" t="s">
        <v>330</v>
      </c>
      <c r="C174" s="6">
        <v>0</v>
      </c>
      <c r="D174" s="6">
        <v>0</v>
      </c>
      <c r="E174" s="6">
        <v>0</v>
      </c>
    </row>
    <row r="175" spans="1:5" x14ac:dyDescent="0.3">
      <c r="A175" s="9" t="s">
        <v>331</v>
      </c>
      <c r="B175" s="10" t="s">
        <v>332</v>
      </c>
      <c r="C175" s="6">
        <v>0</v>
      </c>
      <c r="D175" s="6">
        <v>0</v>
      </c>
      <c r="E175" s="6">
        <v>0</v>
      </c>
    </row>
    <row r="176" spans="1:5" x14ac:dyDescent="0.3">
      <c r="A176" s="9" t="s">
        <v>333</v>
      </c>
      <c r="B176" s="10" t="s">
        <v>334</v>
      </c>
      <c r="C176" s="6">
        <v>0</v>
      </c>
      <c r="D176" s="6">
        <v>0</v>
      </c>
      <c r="E176" s="6">
        <v>0</v>
      </c>
    </row>
    <row r="177" spans="1:5" x14ac:dyDescent="0.3">
      <c r="A177" s="9" t="s">
        <v>335</v>
      </c>
      <c r="B177" s="10" t="s">
        <v>336</v>
      </c>
      <c r="C177" s="6">
        <v>0</v>
      </c>
      <c r="D177" s="6">
        <v>0</v>
      </c>
      <c r="E177" s="6">
        <v>0</v>
      </c>
    </row>
    <row r="178" spans="1:5" x14ac:dyDescent="0.3">
      <c r="A178" s="9" t="s">
        <v>337</v>
      </c>
      <c r="B178" s="10" t="s">
        <v>338</v>
      </c>
      <c r="C178" s="6">
        <v>0</v>
      </c>
      <c r="D178" s="6">
        <v>0</v>
      </c>
      <c r="E178" s="6">
        <v>0</v>
      </c>
    </row>
    <row r="179" spans="1:5" x14ac:dyDescent="0.3">
      <c r="A179" s="9" t="s">
        <v>339</v>
      </c>
      <c r="B179" s="10" t="s">
        <v>340</v>
      </c>
      <c r="C179" s="6">
        <v>0</v>
      </c>
      <c r="D179" s="6">
        <v>0</v>
      </c>
      <c r="E179" s="6">
        <v>0</v>
      </c>
    </row>
    <row r="180" spans="1:5" x14ac:dyDescent="0.3">
      <c r="A180" s="9" t="s">
        <v>341</v>
      </c>
      <c r="B180" s="10" t="s">
        <v>342</v>
      </c>
      <c r="C180" s="6">
        <v>0</v>
      </c>
      <c r="D180" s="6">
        <v>0</v>
      </c>
      <c r="E180" s="6">
        <v>0</v>
      </c>
    </row>
    <row r="181" spans="1:5" x14ac:dyDescent="0.3">
      <c r="A181" s="9" t="s">
        <v>343</v>
      </c>
      <c r="B181" s="10" t="s">
        <v>344</v>
      </c>
      <c r="C181" s="6">
        <v>0</v>
      </c>
      <c r="D181" s="6">
        <v>0</v>
      </c>
      <c r="E181" s="6">
        <v>0</v>
      </c>
    </row>
    <row r="182" spans="1:5" x14ac:dyDescent="0.3">
      <c r="A182" s="9" t="s">
        <v>345</v>
      </c>
      <c r="B182" s="10" t="s">
        <v>346</v>
      </c>
      <c r="C182" s="6">
        <v>0</v>
      </c>
      <c r="D182" s="6">
        <v>0</v>
      </c>
      <c r="E182" s="6">
        <v>0</v>
      </c>
    </row>
    <row r="183" spans="1:5" ht="15" thickBot="1" x14ac:dyDescent="0.35">
      <c r="A183" s="9" t="s">
        <v>347</v>
      </c>
      <c r="B183" s="10" t="s">
        <v>348</v>
      </c>
      <c r="C183" s="6">
        <v>0</v>
      </c>
      <c r="D183" s="6">
        <v>0</v>
      </c>
      <c r="E183" s="6">
        <v>0</v>
      </c>
    </row>
    <row r="184" spans="1:5" ht="21" thickBot="1" x14ac:dyDescent="0.35">
      <c r="A184" s="35"/>
      <c r="B184" s="35" t="s">
        <v>349</v>
      </c>
      <c r="C184" s="37">
        <v>0</v>
      </c>
      <c r="D184" s="37">
        <v>0</v>
      </c>
      <c r="E184" s="37">
        <v>0</v>
      </c>
    </row>
    <row r="185" spans="1:5" ht="15" thickBot="1" x14ac:dyDescent="0.35">
      <c r="A185" s="25"/>
      <c r="B185" s="25" t="s">
        <v>350</v>
      </c>
      <c r="C185" s="26">
        <v>26023135.340000015</v>
      </c>
      <c r="D185" s="26">
        <v>39400493.838880666</v>
      </c>
      <c r="E185" s="26">
        <v>36881383.850702479</v>
      </c>
    </row>
    <row r="186" spans="1:5" x14ac:dyDescent="0.3">
      <c r="A186" s="9" t="s">
        <v>351</v>
      </c>
      <c r="B186" s="10" t="s">
        <v>352</v>
      </c>
      <c r="C186" s="6">
        <v>0</v>
      </c>
      <c r="D186" s="6">
        <v>0</v>
      </c>
      <c r="E186" s="6">
        <v>0</v>
      </c>
    </row>
    <row r="187" spans="1:5" x14ac:dyDescent="0.3">
      <c r="A187" s="9" t="s">
        <v>353</v>
      </c>
      <c r="B187" s="10" t="s">
        <v>354</v>
      </c>
      <c r="C187" s="6">
        <v>0</v>
      </c>
      <c r="D187" s="6">
        <v>0</v>
      </c>
      <c r="E187" s="6">
        <v>0</v>
      </c>
    </row>
    <row r="188" spans="1:5" x14ac:dyDescent="0.3">
      <c r="A188" s="9" t="s">
        <v>355</v>
      </c>
      <c r="B188" s="10" t="s">
        <v>356</v>
      </c>
      <c r="C188" s="6">
        <v>28216.86</v>
      </c>
      <c r="D188" s="6">
        <v>0</v>
      </c>
      <c r="E188" s="6">
        <v>0</v>
      </c>
    </row>
    <row r="189" spans="1:5" x14ac:dyDescent="0.3">
      <c r="A189" s="9" t="s">
        <v>357</v>
      </c>
      <c r="B189" s="10" t="s">
        <v>358</v>
      </c>
      <c r="C189" s="6">
        <v>0</v>
      </c>
      <c r="D189" s="6">
        <v>0</v>
      </c>
      <c r="E189" s="6">
        <v>0</v>
      </c>
    </row>
    <row r="190" spans="1:5" x14ac:dyDescent="0.3">
      <c r="A190" s="9" t="s">
        <v>359</v>
      </c>
      <c r="B190" s="10" t="s">
        <v>360</v>
      </c>
      <c r="C190" s="6">
        <v>0</v>
      </c>
      <c r="D190" s="6">
        <v>0</v>
      </c>
      <c r="E190" s="6">
        <v>0</v>
      </c>
    </row>
    <row r="191" spans="1:5" x14ac:dyDescent="0.3">
      <c r="A191" s="9" t="s">
        <v>361</v>
      </c>
      <c r="B191" s="10" t="s">
        <v>362</v>
      </c>
      <c r="C191" s="6">
        <v>0</v>
      </c>
      <c r="D191" s="6">
        <v>0</v>
      </c>
      <c r="E191" s="6">
        <v>0</v>
      </c>
    </row>
    <row r="192" spans="1:5" x14ac:dyDescent="0.3">
      <c r="A192" s="9" t="s">
        <v>363</v>
      </c>
      <c r="B192" s="10" t="s">
        <v>364</v>
      </c>
      <c r="C192" s="6">
        <v>0</v>
      </c>
      <c r="D192" s="6">
        <v>0</v>
      </c>
      <c r="E192" s="6">
        <v>0</v>
      </c>
    </row>
    <row r="193" spans="1:5" x14ac:dyDescent="0.3">
      <c r="A193" s="9" t="s">
        <v>365</v>
      </c>
      <c r="B193" s="10" t="s">
        <v>366</v>
      </c>
      <c r="C193" s="6">
        <v>0</v>
      </c>
      <c r="D193" s="6">
        <v>0</v>
      </c>
      <c r="E193" s="6">
        <v>0</v>
      </c>
    </row>
    <row r="194" spans="1:5" x14ac:dyDescent="0.3">
      <c r="A194" s="9" t="s">
        <v>367</v>
      </c>
      <c r="B194" s="10" t="s">
        <v>368</v>
      </c>
      <c r="C194" s="6">
        <v>15160.07</v>
      </c>
      <c r="D194" s="6">
        <v>0</v>
      </c>
      <c r="E194" s="6">
        <v>373266.2</v>
      </c>
    </row>
    <row r="195" spans="1:5" x14ac:dyDescent="0.3">
      <c r="A195" s="9" t="s">
        <v>369</v>
      </c>
      <c r="B195" s="10" t="s">
        <v>370</v>
      </c>
      <c r="C195" s="6">
        <v>0</v>
      </c>
      <c r="D195" s="6">
        <v>0</v>
      </c>
      <c r="E195" s="6">
        <v>0</v>
      </c>
    </row>
    <row r="196" spans="1:5" x14ac:dyDescent="0.3">
      <c r="A196" s="9" t="s">
        <v>371</v>
      </c>
      <c r="B196" s="10" t="s">
        <v>372</v>
      </c>
      <c r="C196" s="6">
        <v>0</v>
      </c>
      <c r="D196" s="6">
        <v>0</v>
      </c>
      <c r="E196" s="6">
        <v>0</v>
      </c>
    </row>
    <row r="197" spans="1:5" x14ac:dyDescent="0.3">
      <c r="A197" s="9" t="s">
        <v>373</v>
      </c>
      <c r="B197" s="10" t="s">
        <v>374</v>
      </c>
      <c r="C197" s="6">
        <v>0</v>
      </c>
      <c r="D197" s="6">
        <v>0</v>
      </c>
      <c r="E197" s="6">
        <v>0</v>
      </c>
    </row>
    <row r="198" spans="1:5" x14ac:dyDescent="0.3">
      <c r="A198" s="9" t="s">
        <v>375</v>
      </c>
      <c r="B198" s="10" t="s">
        <v>376</v>
      </c>
      <c r="C198" s="6">
        <v>0</v>
      </c>
      <c r="D198" s="6">
        <v>0</v>
      </c>
      <c r="E198" s="6">
        <v>0</v>
      </c>
    </row>
    <row r="199" spans="1:5" ht="15" thickBot="1" x14ac:dyDescent="0.35">
      <c r="A199" s="9" t="s">
        <v>377</v>
      </c>
      <c r="B199" s="10" t="s">
        <v>378</v>
      </c>
      <c r="C199" s="6">
        <v>0</v>
      </c>
      <c r="D199" s="6">
        <v>0</v>
      </c>
      <c r="E199" s="6">
        <v>0</v>
      </c>
    </row>
    <row r="200" spans="1:5" ht="15" thickBot="1" x14ac:dyDescent="0.35">
      <c r="A200" s="35"/>
      <c r="B200" s="35" t="s">
        <v>379</v>
      </c>
      <c r="C200" s="37">
        <v>43376.93</v>
      </c>
      <c r="D200" s="37">
        <v>0</v>
      </c>
      <c r="E200" s="37">
        <v>373266.2</v>
      </c>
    </row>
    <row r="201" spans="1:5" x14ac:dyDescent="0.3">
      <c r="A201" s="9" t="s">
        <v>380</v>
      </c>
      <c r="B201" s="10" t="s">
        <v>381</v>
      </c>
      <c r="C201" s="6">
        <v>0</v>
      </c>
      <c r="D201" s="6">
        <v>0</v>
      </c>
      <c r="E201" s="6">
        <v>0</v>
      </c>
    </row>
    <row r="202" spans="1:5" x14ac:dyDescent="0.3">
      <c r="A202" s="9" t="s">
        <v>382</v>
      </c>
      <c r="B202" s="10" t="s">
        <v>383</v>
      </c>
      <c r="C202" s="6">
        <v>0</v>
      </c>
      <c r="D202" s="6">
        <v>0</v>
      </c>
      <c r="E202" s="6">
        <v>0</v>
      </c>
    </row>
    <row r="203" spans="1:5" x14ac:dyDescent="0.3">
      <c r="A203" s="9" t="s">
        <v>384</v>
      </c>
      <c r="B203" s="10" t="s">
        <v>385</v>
      </c>
      <c r="C203" s="6">
        <v>0</v>
      </c>
      <c r="D203" s="6">
        <v>0</v>
      </c>
      <c r="E203" s="6">
        <v>0</v>
      </c>
    </row>
    <row r="204" spans="1:5" x14ac:dyDescent="0.3">
      <c r="A204" s="9" t="s">
        <v>386</v>
      </c>
      <c r="B204" s="10" t="s">
        <v>387</v>
      </c>
      <c r="C204" s="6">
        <v>0</v>
      </c>
      <c r="D204" s="6">
        <v>0</v>
      </c>
      <c r="E204" s="6">
        <v>0</v>
      </c>
    </row>
    <row r="205" spans="1:5" x14ac:dyDescent="0.3">
      <c r="A205" s="9" t="s">
        <v>388</v>
      </c>
      <c r="B205" s="10" t="s">
        <v>389</v>
      </c>
      <c r="C205" s="6">
        <v>-642284.84</v>
      </c>
      <c r="D205" s="6">
        <v>-1285515</v>
      </c>
      <c r="E205" s="6">
        <v>-1140101.8400000001</v>
      </c>
    </row>
    <row r="206" spans="1:5" x14ac:dyDescent="0.3">
      <c r="A206" s="9" t="s">
        <v>390</v>
      </c>
      <c r="B206" s="10" t="s">
        <v>391</v>
      </c>
      <c r="C206" s="6">
        <v>0</v>
      </c>
      <c r="D206" s="6">
        <v>0</v>
      </c>
      <c r="E206" s="6">
        <v>0</v>
      </c>
    </row>
    <row r="207" spans="1:5" x14ac:dyDescent="0.3">
      <c r="A207" s="9" t="s">
        <v>392</v>
      </c>
      <c r="B207" s="10" t="s">
        <v>393</v>
      </c>
      <c r="C207" s="6">
        <v>-844724.26</v>
      </c>
      <c r="D207" s="6">
        <v>-451703</v>
      </c>
      <c r="E207" s="6">
        <v>-579242.86</v>
      </c>
    </row>
    <row r="208" spans="1:5" x14ac:dyDescent="0.3">
      <c r="A208" s="9" t="s">
        <v>394</v>
      </c>
      <c r="B208" s="10" t="s">
        <v>395</v>
      </c>
      <c r="C208" s="6">
        <v>0</v>
      </c>
      <c r="D208" s="6">
        <v>0</v>
      </c>
      <c r="E208" s="6">
        <v>0</v>
      </c>
    </row>
    <row r="209" spans="1:5" x14ac:dyDescent="0.3">
      <c r="A209" s="9" t="s">
        <v>396</v>
      </c>
      <c r="B209" s="10" t="s">
        <v>397</v>
      </c>
      <c r="C209" s="6">
        <v>0</v>
      </c>
      <c r="D209" s="6">
        <v>0</v>
      </c>
      <c r="E209" s="6">
        <v>0</v>
      </c>
    </row>
    <row r="210" spans="1:5" x14ac:dyDescent="0.3">
      <c r="A210" s="9" t="s">
        <v>398</v>
      </c>
      <c r="B210" s="10" t="s">
        <v>399</v>
      </c>
      <c r="C210" s="6">
        <v>0</v>
      </c>
      <c r="D210" s="6">
        <v>0</v>
      </c>
      <c r="E210" s="6">
        <v>0</v>
      </c>
    </row>
    <row r="211" spans="1:5" x14ac:dyDescent="0.3">
      <c r="A211" s="9" t="s">
        <v>400</v>
      </c>
      <c r="B211" s="10" t="s">
        <v>401</v>
      </c>
      <c r="C211" s="6">
        <v>-132.94999999999999</v>
      </c>
      <c r="D211" s="6">
        <v>0</v>
      </c>
      <c r="E211" s="6">
        <v>-7031.59</v>
      </c>
    </row>
    <row r="212" spans="1:5" x14ac:dyDescent="0.3">
      <c r="A212" s="9" t="s">
        <v>402</v>
      </c>
      <c r="B212" s="10" t="s">
        <v>403</v>
      </c>
      <c r="C212" s="6">
        <v>0</v>
      </c>
      <c r="D212" s="6">
        <v>0</v>
      </c>
      <c r="E212" s="6">
        <v>0</v>
      </c>
    </row>
    <row r="213" spans="1:5" x14ac:dyDescent="0.3">
      <c r="A213" s="9" t="s">
        <v>404</v>
      </c>
      <c r="B213" s="10" t="s">
        <v>405</v>
      </c>
      <c r="C213" s="6">
        <v>-695679.95</v>
      </c>
      <c r="D213" s="6">
        <v>0</v>
      </c>
      <c r="E213" s="6">
        <v>-248738.35</v>
      </c>
    </row>
    <row r="214" spans="1:5" x14ac:dyDescent="0.3">
      <c r="A214" s="9" t="s">
        <v>406</v>
      </c>
      <c r="B214" s="10" t="s">
        <v>407</v>
      </c>
      <c r="C214" s="6">
        <v>0</v>
      </c>
      <c r="D214" s="6">
        <v>0</v>
      </c>
      <c r="E214" s="6">
        <v>0</v>
      </c>
    </row>
    <row r="215" spans="1:5" ht="15" thickBot="1" x14ac:dyDescent="0.35">
      <c r="A215" s="9" t="s">
        <v>408</v>
      </c>
      <c r="B215" s="10" t="s">
        <v>409</v>
      </c>
      <c r="C215" s="6">
        <v>0</v>
      </c>
      <c r="D215" s="6">
        <v>0</v>
      </c>
      <c r="E215" s="6">
        <v>0</v>
      </c>
    </row>
    <row r="216" spans="1:5" ht="15" thickBot="1" x14ac:dyDescent="0.35">
      <c r="A216" s="35"/>
      <c r="B216" s="35" t="s">
        <v>410</v>
      </c>
      <c r="C216" s="37">
        <v>-2182822</v>
      </c>
      <c r="D216" s="37">
        <v>-1737218</v>
      </c>
      <c r="E216" s="37">
        <v>-1975114.6400000004</v>
      </c>
    </row>
    <row r="217" spans="1:5" ht="15" thickBot="1" x14ac:dyDescent="0.35">
      <c r="A217" s="25"/>
      <c r="B217" s="25" t="s">
        <v>411</v>
      </c>
      <c r="C217" s="26">
        <v>-2139445.0699999998</v>
      </c>
      <c r="D217" s="26">
        <v>-1737218</v>
      </c>
      <c r="E217" s="26">
        <v>-1601848.4400000004</v>
      </c>
    </row>
    <row r="218" spans="1:5" x14ac:dyDescent="0.3">
      <c r="A218" s="9" t="s">
        <v>412</v>
      </c>
      <c r="B218" s="10" t="s">
        <v>413</v>
      </c>
      <c r="C218" s="6">
        <v>0</v>
      </c>
      <c r="D218" s="6">
        <v>0</v>
      </c>
      <c r="E218" s="6">
        <v>0</v>
      </c>
    </row>
    <row r="219" spans="1:5" x14ac:dyDescent="0.3">
      <c r="A219" s="9" t="s">
        <v>414</v>
      </c>
      <c r="B219" s="10" t="s">
        <v>415</v>
      </c>
      <c r="C219" s="6">
        <v>0</v>
      </c>
      <c r="D219" s="6">
        <v>0</v>
      </c>
      <c r="E219" s="6">
        <v>0</v>
      </c>
    </row>
    <row r="220" spans="1:5" x14ac:dyDescent="0.3">
      <c r="A220" s="9" t="s">
        <v>416</v>
      </c>
      <c r="B220" s="10" t="s">
        <v>417</v>
      </c>
      <c r="C220" s="6">
        <v>0</v>
      </c>
      <c r="D220" s="6">
        <v>0</v>
      </c>
      <c r="E220" s="6">
        <v>0</v>
      </c>
    </row>
    <row r="221" spans="1:5" x14ac:dyDescent="0.3">
      <c r="A221" s="9" t="s">
        <v>418</v>
      </c>
      <c r="B221" s="10" t="s">
        <v>419</v>
      </c>
      <c r="C221" s="6">
        <v>0</v>
      </c>
      <c r="D221" s="6">
        <v>0</v>
      </c>
      <c r="E221" s="6">
        <v>0</v>
      </c>
    </row>
    <row r="222" spans="1:5" x14ac:dyDescent="0.3">
      <c r="A222" s="9" t="s">
        <v>420</v>
      </c>
      <c r="B222" s="10" t="s">
        <v>421</v>
      </c>
      <c r="C222" s="6">
        <v>0</v>
      </c>
      <c r="D222" s="6">
        <v>0</v>
      </c>
      <c r="E222" s="6">
        <v>0</v>
      </c>
    </row>
    <row r="223" spans="1:5" x14ac:dyDescent="0.3">
      <c r="A223" s="9" t="s">
        <v>422</v>
      </c>
      <c r="B223" s="10" t="s">
        <v>423</v>
      </c>
      <c r="C223" s="6">
        <v>0</v>
      </c>
      <c r="D223" s="6">
        <v>0</v>
      </c>
      <c r="E223" s="6">
        <v>0</v>
      </c>
    </row>
    <row r="224" spans="1:5" x14ac:dyDescent="0.3">
      <c r="A224" s="9" t="s">
        <v>424</v>
      </c>
      <c r="B224" s="10" t="s">
        <v>425</v>
      </c>
      <c r="C224" s="6">
        <v>0</v>
      </c>
      <c r="D224" s="6">
        <v>0</v>
      </c>
      <c r="E224" s="6">
        <v>0</v>
      </c>
    </row>
    <row r="225" spans="1:5" x14ac:dyDescent="0.3">
      <c r="A225" s="9" t="s">
        <v>426</v>
      </c>
      <c r="B225" s="10" t="s">
        <v>427</v>
      </c>
      <c r="C225" s="6">
        <v>0</v>
      </c>
      <c r="D225" s="6">
        <v>0</v>
      </c>
      <c r="E225" s="6">
        <v>0</v>
      </c>
    </row>
    <row r="226" spans="1:5" x14ac:dyDescent="0.3">
      <c r="A226" s="9" t="s">
        <v>428</v>
      </c>
      <c r="B226" s="10" t="s">
        <v>277</v>
      </c>
      <c r="C226" s="6">
        <v>0</v>
      </c>
      <c r="D226" s="6">
        <v>0</v>
      </c>
      <c r="E226" s="6">
        <v>0</v>
      </c>
    </row>
    <row r="227" spans="1:5" x14ac:dyDescent="0.3">
      <c r="A227" s="9" t="s">
        <v>429</v>
      </c>
      <c r="B227" s="10" t="s">
        <v>430</v>
      </c>
      <c r="C227" s="6">
        <v>0</v>
      </c>
      <c r="D227" s="6">
        <v>0</v>
      </c>
      <c r="E227" s="6">
        <v>0</v>
      </c>
    </row>
    <row r="228" spans="1:5" x14ac:dyDescent="0.3">
      <c r="A228" s="9" t="s">
        <v>431</v>
      </c>
      <c r="B228" s="10" t="s">
        <v>432</v>
      </c>
      <c r="C228" s="6">
        <v>0</v>
      </c>
      <c r="D228" s="6">
        <v>0</v>
      </c>
      <c r="E228" s="6">
        <v>0</v>
      </c>
    </row>
    <row r="229" spans="1:5" x14ac:dyDescent="0.3">
      <c r="A229" s="9" t="s">
        <v>433</v>
      </c>
      <c r="B229" s="10" t="s">
        <v>434</v>
      </c>
      <c r="C229" s="6">
        <v>56967.519999999997</v>
      </c>
      <c r="D229" s="6">
        <v>0</v>
      </c>
      <c r="E229" s="6">
        <v>0</v>
      </c>
    </row>
    <row r="230" spans="1:5" x14ac:dyDescent="0.3">
      <c r="A230" s="9" t="s">
        <v>435</v>
      </c>
      <c r="B230" s="10" t="s">
        <v>436</v>
      </c>
      <c r="C230" s="6">
        <v>-208616.53999999998</v>
      </c>
      <c r="D230" s="6">
        <v>0</v>
      </c>
      <c r="E230" s="6">
        <v>-90611.199999999997</v>
      </c>
    </row>
    <row r="231" spans="1:5" x14ac:dyDescent="0.3">
      <c r="A231" s="9" t="s">
        <v>437</v>
      </c>
      <c r="B231" s="10" t="s">
        <v>438</v>
      </c>
      <c r="C231" s="6">
        <v>0</v>
      </c>
      <c r="D231" s="6">
        <v>0</v>
      </c>
      <c r="E231" s="6">
        <v>0</v>
      </c>
    </row>
    <row r="232" spans="1:5" x14ac:dyDescent="0.3">
      <c r="A232" s="9" t="s">
        <v>439</v>
      </c>
      <c r="B232" s="10" t="s">
        <v>440</v>
      </c>
      <c r="C232" s="6">
        <v>0</v>
      </c>
      <c r="D232" s="6">
        <v>0</v>
      </c>
      <c r="E232" s="6">
        <v>0</v>
      </c>
    </row>
    <row r="233" spans="1:5" x14ac:dyDescent="0.3">
      <c r="A233" s="9" t="s">
        <v>441</v>
      </c>
      <c r="B233" s="10" t="s">
        <v>442</v>
      </c>
      <c r="C233" s="6">
        <v>0</v>
      </c>
      <c r="D233" s="6">
        <v>0</v>
      </c>
      <c r="E233" s="6">
        <v>0</v>
      </c>
    </row>
    <row r="234" spans="1:5" x14ac:dyDescent="0.3">
      <c r="A234" s="9" t="s">
        <v>443</v>
      </c>
      <c r="B234" s="10" t="s">
        <v>444</v>
      </c>
      <c r="C234" s="6">
        <v>0</v>
      </c>
      <c r="D234" s="6">
        <v>0</v>
      </c>
      <c r="E234" s="6">
        <v>0</v>
      </c>
    </row>
    <row r="235" spans="1:5" x14ac:dyDescent="0.3">
      <c r="A235" s="9" t="s">
        <v>445</v>
      </c>
      <c r="B235" s="10" t="s">
        <v>446</v>
      </c>
      <c r="C235" s="6">
        <v>0</v>
      </c>
      <c r="D235" s="6">
        <v>0</v>
      </c>
      <c r="E235" s="6">
        <v>0</v>
      </c>
    </row>
    <row r="236" spans="1:5" x14ac:dyDescent="0.3">
      <c r="A236" s="9" t="s">
        <v>447</v>
      </c>
      <c r="B236" s="10" t="s">
        <v>448</v>
      </c>
      <c r="C236" s="6">
        <v>0</v>
      </c>
      <c r="D236" s="6">
        <v>0</v>
      </c>
      <c r="E236" s="6">
        <v>0</v>
      </c>
    </row>
    <row r="237" spans="1:5" x14ac:dyDescent="0.3">
      <c r="A237" s="9" t="s">
        <v>449</v>
      </c>
      <c r="B237" s="10" t="s">
        <v>450</v>
      </c>
      <c r="C237" s="6">
        <v>0</v>
      </c>
      <c r="D237" s="6">
        <v>0</v>
      </c>
      <c r="E237" s="6">
        <v>0</v>
      </c>
    </row>
    <row r="238" spans="1:5" x14ac:dyDescent="0.3">
      <c r="A238" s="9" t="s">
        <v>451</v>
      </c>
      <c r="B238" s="10" t="s">
        <v>452</v>
      </c>
      <c r="C238" s="6">
        <v>0</v>
      </c>
      <c r="D238" s="6">
        <v>0</v>
      </c>
      <c r="E238" s="6">
        <v>0</v>
      </c>
    </row>
    <row r="239" spans="1:5" x14ac:dyDescent="0.3">
      <c r="A239" s="9" t="s">
        <v>453</v>
      </c>
      <c r="B239" s="10" t="s">
        <v>454</v>
      </c>
      <c r="C239" s="6">
        <v>0</v>
      </c>
      <c r="D239" s="6">
        <v>0</v>
      </c>
      <c r="E239" s="6">
        <v>0</v>
      </c>
    </row>
    <row r="240" spans="1:5" x14ac:dyDescent="0.3">
      <c r="A240" s="9" t="s">
        <v>455</v>
      </c>
      <c r="B240" s="10" t="s">
        <v>456</v>
      </c>
      <c r="C240" s="6">
        <v>0</v>
      </c>
      <c r="D240" s="6">
        <v>0</v>
      </c>
      <c r="E240" s="6">
        <v>0</v>
      </c>
    </row>
    <row r="241" spans="1:5" ht="15" thickBot="1" x14ac:dyDescent="0.35">
      <c r="A241" s="9" t="s">
        <v>457</v>
      </c>
      <c r="B241" s="10" t="s">
        <v>458</v>
      </c>
      <c r="C241" s="6">
        <v>0</v>
      </c>
      <c r="D241" s="6">
        <v>0</v>
      </c>
      <c r="E241" s="6">
        <v>0</v>
      </c>
    </row>
    <row r="242" spans="1:5" ht="15" thickBot="1" x14ac:dyDescent="0.35">
      <c r="A242" s="35"/>
      <c r="B242" s="35" t="s">
        <v>459</v>
      </c>
      <c r="C242" s="37">
        <v>-151649.01999999999</v>
      </c>
      <c r="D242" s="37">
        <v>0</v>
      </c>
      <c r="E242" s="37">
        <v>-90611.199999999997</v>
      </c>
    </row>
    <row r="243" spans="1:5" ht="15" thickBot="1" x14ac:dyDescent="0.35">
      <c r="A243" s="25"/>
      <c r="B243" s="25" t="s">
        <v>460</v>
      </c>
      <c r="C243" s="26">
        <v>23732041.250000015</v>
      </c>
      <c r="D243" s="26">
        <v>37663275.838880666</v>
      </c>
      <c r="E243" s="26">
        <v>35188924.210702479</v>
      </c>
    </row>
    <row r="244" spans="1:5" x14ac:dyDescent="0.3">
      <c r="A244" s="40"/>
      <c r="B244" s="40" t="s">
        <v>461</v>
      </c>
      <c r="C244" s="39">
        <v>0.38725236679947445</v>
      </c>
      <c r="D244" s="39">
        <v>0.43808287647913186</v>
      </c>
      <c r="E244" s="39">
        <v>0.46768203954917181</v>
      </c>
    </row>
    <row r="245" spans="1:5" ht="15" thickBot="1" x14ac:dyDescent="0.35">
      <c r="A245" s="9" t="s">
        <v>462</v>
      </c>
      <c r="B245" s="10" t="s">
        <v>463</v>
      </c>
      <c r="C245" s="6">
        <v>0</v>
      </c>
      <c r="D245" s="6">
        <v>0</v>
      </c>
      <c r="E245" s="41">
        <v>0</v>
      </c>
    </row>
    <row r="246" spans="1:5" ht="15" thickBot="1" x14ac:dyDescent="0.35">
      <c r="A246" s="35"/>
      <c r="B246" s="35" t="s">
        <v>464</v>
      </c>
      <c r="C246" s="37">
        <v>0</v>
      </c>
      <c r="D246" s="37">
        <v>0</v>
      </c>
      <c r="E246" s="37">
        <v>0</v>
      </c>
    </row>
    <row r="247" spans="1:5" x14ac:dyDescent="0.3">
      <c r="A247" s="9" t="s">
        <v>465</v>
      </c>
      <c r="B247" s="10" t="s">
        <v>466</v>
      </c>
      <c r="C247" s="6">
        <v>-1029125.5706589768</v>
      </c>
      <c r="D247" s="6">
        <v>-4833238.9008010607</v>
      </c>
      <c r="E247" s="8">
        <v>-4105290.8978591813</v>
      </c>
    </row>
    <row r="248" spans="1:5" ht="15" thickBot="1" x14ac:dyDescent="0.35">
      <c r="A248" s="9" t="s">
        <v>467</v>
      </c>
      <c r="B248" s="10" t="s">
        <v>468</v>
      </c>
      <c r="C248" s="6">
        <v>0</v>
      </c>
      <c r="D248" s="6">
        <v>0</v>
      </c>
      <c r="E248" s="41">
        <v>0</v>
      </c>
    </row>
    <row r="249" spans="1:5" ht="15" thickBot="1" x14ac:dyDescent="0.35">
      <c r="A249" s="35"/>
      <c r="B249" s="35" t="s">
        <v>469</v>
      </c>
      <c r="C249" s="37">
        <v>-1029125.5706589768</v>
      </c>
      <c r="D249" s="37">
        <v>-4833238.9008010607</v>
      </c>
      <c r="E249" s="37">
        <v>-4105290.8978591813</v>
      </c>
    </row>
    <row r="250" spans="1:5" ht="15" thickBot="1" x14ac:dyDescent="0.35">
      <c r="A250" s="25"/>
      <c r="B250" s="25" t="s">
        <v>470</v>
      </c>
      <c r="C250" s="42">
        <v>22702915.679341037</v>
      </c>
      <c r="D250" s="42">
        <v>32830036.938079603</v>
      </c>
      <c r="E250" s="43">
        <v>31083633.312843297</v>
      </c>
    </row>
    <row r="251" spans="1:5" x14ac:dyDescent="0.3">
      <c r="A251" s="40"/>
      <c r="B251" s="40" t="s">
        <v>471</v>
      </c>
      <c r="C251" s="44">
        <v>0.37045940285788564</v>
      </c>
      <c r="D251" s="44">
        <v>0.381864739495201</v>
      </c>
      <c r="E251" s="44">
        <v>0.41312024594169672</v>
      </c>
    </row>
    <row r="252" spans="1:5" x14ac:dyDescent="0.3">
      <c r="A252" s="45"/>
      <c r="B252" s="45"/>
      <c r="C252" s="45"/>
      <c r="D252" s="45"/>
      <c r="E252" s="45"/>
    </row>
    <row r="253" spans="1:5" x14ac:dyDescent="0.3">
      <c r="A253" s="46"/>
      <c r="B253" s="47" t="s">
        <v>472</v>
      </c>
      <c r="C253" s="48">
        <v>22702915.679341029</v>
      </c>
      <c r="D253" s="48">
        <v>32830036.93807961</v>
      </c>
      <c r="E253" s="48">
        <v>31083633.782140806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8F59-2DA3-4166-A36C-910BAF8C5E55}">
  <dimension ref="A4:A7"/>
  <sheetViews>
    <sheetView workbookViewId="0">
      <selection activeCell="A8" sqref="A8"/>
    </sheetView>
  </sheetViews>
  <sheetFormatPr baseColWidth="10" defaultRowHeight="14.4" x14ac:dyDescent="0.3"/>
  <sheetData>
    <row r="4" spans="1:1" x14ac:dyDescent="0.3">
      <c r="A4" t="str">
        <f>+Feuil1!B8</f>
        <v>P1119T - Chiffre d'affaires</v>
      </c>
    </row>
    <row r="5" spans="1:1" x14ac:dyDescent="0.3">
      <c r="A5" t="str">
        <f>+Feuil1!B93</f>
        <v>P129T - Marge Brute</v>
      </c>
    </row>
    <row r="6" spans="1:1" x14ac:dyDescent="0.3">
      <c r="A6" t="str">
        <f>+Feuil1!B144</f>
        <v>P169T - EBITDA</v>
      </c>
    </row>
    <row r="7" spans="1:1" x14ac:dyDescent="0.3">
      <c r="A7" t="str">
        <f>+Feuil1!B250</f>
        <v>Résultat net N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FF5DA56EC2049B6FFF9FB835E014F" ma:contentTypeVersion="16" ma:contentTypeDescription="Crée un document." ma:contentTypeScope="" ma:versionID="555b04cce1c3acdafc81536350094b4d">
  <xsd:schema xmlns:xsd="http://www.w3.org/2001/XMLSchema" xmlns:xs="http://www.w3.org/2001/XMLSchema" xmlns:p="http://schemas.microsoft.com/office/2006/metadata/properties" xmlns:ns3="42b86735-2cf5-4fde-b002-02189ce9072b" xmlns:ns4="21089e1a-9aeb-425c-be2b-7a7b43865b98" targetNamespace="http://schemas.microsoft.com/office/2006/metadata/properties" ma:root="true" ma:fieldsID="d966a40350f2970030a1c04054e4b873" ns3:_="" ns4:_="">
    <xsd:import namespace="42b86735-2cf5-4fde-b002-02189ce9072b"/>
    <xsd:import namespace="21089e1a-9aeb-425c-be2b-7a7b43865b9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86735-2cf5-4fde-b002-02189ce907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89e1a-9aeb-425c-be2b-7a7b43865b9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b86735-2cf5-4fde-b002-02189ce9072b" xsi:nil="true"/>
  </documentManagement>
</p:properties>
</file>

<file path=customXml/itemProps1.xml><?xml version="1.0" encoding="utf-8"?>
<ds:datastoreItem xmlns:ds="http://schemas.openxmlformats.org/officeDocument/2006/customXml" ds:itemID="{87D042B1-FDC7-487E-A378-DD88C27CF8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86735-2cf5-4fde-b002-02189ce9072b"/>
    <ds:schemaRef ds:uri="21089e1a-9aeb-425c-be2b-7a7b43865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E20B5D-C97F-4C10-ACA8-1BBFD6BA4E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440882-7EAC-4BC6-A5E6-2A5387C35871}">
  <ds:schemaRefs>
    <ds:schemaRef ds:uri="http://schemas.microsoft.com/office/2006/documentManagement/types"/>
    <ds:schemaRef ds:uri="http://schemas.microsoft.com/office/infopath/2007/PartnerControls"/>
    <ds:schemaRef ds:uri="21089e1a-9aeb-425c-be2b-7a7b43865b98"/>
    <ds:schemaRef ds:uri="http://purl.org/dc/elements/1.1/"/>
    <ds:schemaRef ds:uri="http://schemas.microsoft.com/office/2006/metadata/properties"/>
    <ds:schemaRef ds:uri="http://purl.org/dc/terms/"/>
    <ds:schemaRef ds:uri="42b86735-2cf5-4fde-b002-02189ce9072b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EN-NYLY</dc:creator>
  <cp:lastModifiedBy>Mohamed EN-NYLY</cp:lastModifiedBy>
  <dcterms:created xsi:type="dcterms:W3CDTF">2026-03-03T15:02:07Z</dcterms:created>
  <dcterms:modified xsi:type="dcterms:W3CDTF">2026-03-03T15:06:18Z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0x010100575FF5DA56EC2049B6FFF9FB835E014F</vt:lpwstr>
  </property>
</Properties>
</file>
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agroupe-my.sharepoint.com/personal/men-nyly-ext_azura-group_com/Documents/"/>
    </mc:Choice>
  </mc:AlternateContent>
  <xr:revisionPtr revIDLastSave="22" documentId="8_{4BCC72DF-1B0E-4C70-AFC9-5084D2050F85}" xr6:coauthVersionLast="47" xr6:coauthVersionMax="47" xr10:uidLastSave="{894A1780-3127-43A4-B4D1-19764BC9A754}"/>
  <bookViews>
    <workbookView xWindow="-108" yWindow="-108" windowWidth="23256" windowHeight="12456" activeTab="1" xr2:uid="{D93A8373-D80E-478C-9A82-3DA65A704E87}"/>
  </bookViews>
  <sheets>
    <sheet name="Feuil1" sheetId="1" r:id="rId1"/>
    <sheet name="Feuil2" sheetId="2" r:id="rId2"/>
    <sheet name="BD ESTRA" sheetId="4" r:id="rId3"/>
    <sheet name="RESULTAT MODELE" sheetId="5" r:id="rId4"/>
    <sheet name="TB ACHAT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8" i="5" l="1"/>
  <c r="I247" i="5"/>
  <c r="I249" i="5" s="1"/>
  <c r="I245" i="5"/>
  <c r="I246" i="5" s="1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16" i="5" s="1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200" i="5" s="1"/>
  <c r="I217" i="5" s="1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J169" i="5"/>
  <c r="K169" i="5" s="1"/>
  <c r="I169" i="5"/>
  <c r="I170" i="5" s="1"/>
  <c r="J168" i="5"/>
  <c r="K168" i="5" s="1"/>
  <c r="I168" i="5"/>
  <c r="I167" i="5"/>
  <c r="L167" i="5"/>
  <c r="J166" i="5"/>
  <c r="K166" i="5" s="1"/>
  <c r="I166" i="5"/>
  <c r="I164" i="5"/>
  <c r="I163" i="5"/>
  <c r="L163" i="5"/>
  <c r="I162" i="5"/>
  <c r="J162" i="5"/>
  <c r="K162" i="5" s="1"/>
  <c r="I161" i="5"/>
  <c r="I160" i="5"/>
  <c r="L160" i="5"/>
  <c r="J159" i="5"/>
  <c r="K159" i="5" s="1"/>
  <c r="I159" i="5"/>
  <c r="J158" i="5"/>
  <c r="K158" i="5" s="1"/>
  <c r="I158" i="5"/>
  <c r="I157" i="5"/>
  <c r="I156" i="5"/>
  <c r="I155" i="5"/>
  <c r="L155" i="5"/>
  <c r="I154" i="5"/>
  <c r="J154" i="5"/>
  <c r="K154" i="5" s="1"/>
  <c r="I153" i="5"/>
  <c r="I152" i="5"/>
  <c r="I165" i="5" s="1"/>
  <c r="L152" i="5"/>
  <c r="I150" i="5"/>
  <c r="I149" i="5"/>
  <c r="I148" i="5"/>
  <c r="L148" i="5"/>
  <c r="I147" i="5"/>
  <c r="I146" i="5"/>
  <c r="I151" i="5" s="1"/>
  <c r="I141" i="5"/>
  <c r="I140" i="5"/>
  <c r="L140" i="5"/>
  <c r="I139" i="5"/>
  <c r="J139" i="5"/>
  <c r="K139" i="5" s="1"/>
  <c r="I138" i="5"/>
  <c r="I137" i="5"/>
  <c r="J136" i="5"/>
  <c r="K136" i="5" s="1"/>
  <c r="I136" i="5"/>
  <c r="I135" i="5"/>
  <c r="J135" i="5"/>
  <c r="K135" i="5" s="1"/>
  <c r="I134" i="5"/>
  <c r="I133" i="5"/>
  <c r="I132" i="5"/>
  <c r="L132" i="5"/>
  <c r="I131" i="5"/>
  <c r="J131" i="5"/>
  <c r="K131" i="5" s="1"/>
  <c r="I130" i="5"/>
  <c r="I142" i="5" s="1"/>
  <c r="J128" i="5"/>
  <c r="K128" i="5" s="1"/>
  <c r="I128" i="5"/>
  <c r="J127" i="5"/>
  <c r="K127" i="5" s="1"/>
  <c r="I127" i="5"/>
  <c r="I126" i="5"/>
  <c r="I125" i="5"/>
  <c r="I124" i="5"/>
  <c r="L124" i="5"/>
  <c r="I123" i="5"/>
  <c r="J123" i="5"/>
  <c r="K123" i="5" s="1"/>
  <c r="I122" i="5"/>
  <c r="I121" i="5"/>
  <c r="J120" i="5"/>
  <c r="K120" i="5" s="1"/>
  <c r="I120" i="5"/>
  <c r="I129" i="5" s="1"/>
  <c r="J118" i="5"/>
  <c r="K118" i="5" s="1"/>
  <c r="I118" i="5"/>
  <c r="L118" i="5"/>
  <c r="I117" i="5"/>
  <c r="I116" i="5"/>
  <c r="J115" i="5"/>
  <c r="K115" i="5" s="1"/>
  <c r="I115" i="5"/>
  <c r="I114" i="5"/>
  <c r="I119" i="5" s="1"/>
  <c r="J112" i="5"/>
  <c r="K112" i="5" s="1"/>
  <c r="I112" i="5"/>
  <c r="J111" i="5"/>
  <c r="K111" i="5" s="1"/>
  <c r="I111" i="5"/>
  <c r="I113" i="5" s="1"/>
  <c r="I109" i="5"/>
  <c r="I108" i="5"/>
  <c r="I107" i="5"/>
  <c r="J107" i="5"/>
  <c r="K107" i="5" s="1"/>
  <c r="I106" i="5"/>
  <c r="I105" i="5"/>
  <c r="J104" i="5"/>
  <c r="K104" i="5" s="1"/>
  <c r="I104" i="5"/>
  <c r="I103" i="5"/>
  <c r="J103" i="5"/>
  <c r="K103" i="5" s="1"/>
  <c r="I102" i="5"/>
  <c r="I101" i="5"/>
  <c r="J100" i="5"/>
  <c r="K100" i="5" s="1"/>
  <c r="I100" i="5"/>
  <c r="L100" i="5"/>
  <c r="J99" i="5"/>
  <c r="K99" i="5" s="1"/>
  <c r="I99" i="5"/>
  <c r="I98" i="5"/>
  <c r="I97" i="5"/>
  <c r="J96" i="5"/>
  <c r="K96" i="5" s="1"/>
  <c r="I96" i="5"/>
  <c r="J95" i="5"/>
  <c r="K95" i="5" s="1"/>
  <c r="I95" i="5"/>
  <c r="I110" i="5" s="1"/>
  <c r="I143" i="5" s="1"/>
  <c r="L95" i="5"/>
  <c r="I91" i="5"/>
  <c r="L90" i="5"/>
  <c r="I90" i="5"/>
  <c r="L89" i="5"/>
  <c r="I89" i="5"/>
  <c r="I88" i="5"/>
  <c r="L86" i="5"/>
  <c r="K86" i="5"/>
  <c r="I86" i="5"/>
  <c r="J86" i="5"/>
  <c r="L85" i="5"/>
  <c r="I85" i="5"/>
  <c r="I84" i="5"/>
  <c r="I83" i="5"/>
  <c r="J83" i="5"/>
  <c r="K83" i="5" s="1"/>
  <c r="L82" i="5"/>
  <c r="I82" i="5"/>
  <c r="I81" i="5"/>
  <c r="L81" i="5"/>
  <c r="I80" i="5"/>
  <c r="L80" i="5"/>
  <c r="L79" i="5"/>
  <c r="I79" i="5"/>
  <c r="J79" i="5"/>
  <c r="K79" i="5" s="1"/>
  <c r="L78" i="5"/>
  <c r="I78" i="5"/>
  <c r="J78" i="5"/>
  <c r="K78" i="5" s="1"/>
  <c r="L77" i="5"/>
  <c r="I77" i="5"/>
  <c r="I76" i="5"/>
  <c r="I75" i="5"/>
  <c r="J75" i="5"/>
  <c r="K75" i="5" s="1"/>
  <c r="L74" i="5"/>
  <c r="I74" i="5"/>
  <c r="I73" i="5"/>
  <c r="L73" i="5"/>
  <c r="I72" i="5"/>
  <c r="L72" i="5"/>
  <c r="L71" i="5"/>
  <c r="I71" i="5"/>
  <c r="I87" i="5" s="1"/>
  <c r="J71" i="5"/>
  <c r="K71" i="5" s="1"/>
  <c r="L69" i="5"/>
  <c r="I69" i="5"/>
  <c r="I68" i="5"/>
  <c r="I67" i="5"/>
  <c r="J67" i="5"/>
  <c r="K67" i="5" s="1"/>
  <c r="L66" i="5"/>
  <c r="I66" i="5"/>
  <c r="I65" i="5"/>
  <c r="L65" i="5"/>
  <c r="I64" i="5"/>
  <c r="L64" i="5"/>
  <c r="L63" i="5"/>
  <c r="I63" i="5"/>
  <c r="J63" i="5"/>
  <c r="K63" i="5" s="1"/>
  <c r="L62" i="5"/>
  <c r="I62" i="5"/>
  <c r="J62" i="5"/>
  <c r="K62" i="5" s="1"/>
  <c r="L61" i="5"/>
  <c r="I61" i="5"/>
  <c r="I60" i="5"/>
  <c r="I59" i="5"/>
  <c r="J59" i="5"/>
  <c r="K59" i="5" s="1"/>
  <c r="L58" i="5"/>
  <c r="I58" i="5"/>
  <c r="I57" i="5"/>
  <c r="L57" i="5"/>
  <c r="I56" i="5"/>
  <c r="L56" i="5"/>
  <c r="L55" i="5"/>
  <c r="I55" i="5"/>
  <c r="J55" i="5"/>
  <c r="K55" i="5" s="1"/>
  <c r="L54" i="5"/>
  <c r="K54" i="5"/>
  <c r="I54" i="5"/>
  <c r="J54" i="5"/>
  <c r="L53" i="5"/>
  <c r="I53" i="5"/>
  <c r="I52" i="5"/>
  <c r="I51" i="5"/>
  <c r="I70" i="5" s="1"/>
  <c r="J51" i="5"/>
  <c r="K51" i="5" s="1"/>
  <c r="I49" i="5"/>
  <c r="L49" i="5"/>
  <c r="I48" i="5"/>
  <c r="L48" i="5"/>
  <c r="L47" i="5"/>
  <c r="I47" i="5"/>
  <c r="J47" i="5"/>
  <c r="K47" i="5" s="1"/>
  <c r="L46" i="5"/>
  <c r="K46" i="5"/>
  <c r="I46" i="5"/>
  <c r="J46" i="5"/>
  <c r="L45" i="5"/>
  <c r="I45" i="5"/>
  <c r="I44" i="5"/>
  <c r="L44" i="5"/>
  <c r="J44" i="5"/>
  <c r="K44" i="5" s="1"/>
  <c r="I43" i="5"/>
  <c r="L43" i="5"/>
  <c r="J43" i="5"/>
  <c r="K43" i="5" s="1"/>
  <c r="I42" i="5"/>
  <c r="L42" i="5"/>
  <c r="J42" i="5"/>
  <c r="K42" i="5" s="1"/>
  <c r="I41" i="5"/>
  <c r="L41" i="5"/>
  <c r="J41" i="5"/>
  <c r="K41" i="5" s="1"/>
  <c r="I40" i="5"/>
  <c r="L40" i="5"/>
  <c r="J40" i="5"/>
  <c r="K40" i="5" s="1"/>
  <c r="I39" i="5"/>
  <c r="L39" i="5"/>
  <c r="J39" i="5"/>
  <c r="K39" i="5" s="1"/>
  <c r="I38" i="5"/>
  <c r="L38" i="5"/>
  <c r="J38" i="5"/>
  <c r="K38" i="5" s="1"/>
  <c r="I37" i="5"/>
  <c r="L37" i="5"/>
  <c r="J37" i="5"/>
  <c r="K37" i="5" s="1"/>
  <c r="I36" i="5"/>
  <c r="L36" i="5"/>
  <c r="J36" i="5"/>
  <c r="K36" i="5" s="1"/>
  <c r="I35" i="5"/>
  <c r="L35" i="5"/>
  <c r="J35" i="5"/>
  <c r="K35" i="5" s="1"/>
  <c r="I34" i="5"/>
  <c r="L34" i="5"/>
  <c r="J34" i="5"/>
  <c r="K34" i="5" s="1"/>
  <c r="I33" i="5"/>
  <c r="L33" i="5"/>
  <c r="J33" i="5"/>
  <c r="K33" i="5" s="1"/>
  <c r="I32" i="5"/>
  <c r="L32" i="5"/>
  <c r="J32" i="5"/>
  <c r="K32" i="5" s="1"/>
  <c r="J31" i="5"/>
  <c r="K31" i="5" s="1"/>
  <c r="I31" i="5"/>
  <c r="L31" i="5"/>
  <c r="J30" i="5"/>
  <c r="K30" i="5" s="1"/>
  <c r="I30" i="5"/>
  <c r="I50" i="5" s="1"/>
  <c r="L30" i="5"/>
  <c r="J28" i="5"/>
  <c r="K28" i="5" s="1"/>
  <c r="I28" i="5"/>
  <c r="L28" i="5"/>
  <c r="I27" i="5"/>
  <c r="L27" i="5"/>
  <c r="J27" i="5"/>
  <c r="K27" i="5" s="1"/>
  <c r="I26" i="5"/>
  <c r="J26" i="5"/>
  <c r="K26" i="5" s="1"/>
  <c r="J25" i="5"/>
  <c r="K25" i="5" s="1"/>
  <c r="I25" i="5"/>
  <c r="J24" i="5"/>
  <c r="K24" i="5" s="1"/>
  <c r="I24" i="5"/>
  <c r="L24" i="5"/>
  <c r="I23" i="5"/>
  <c r="L23" i="5"/>
  <c r="I22" i="5"/>
  <c r="J21" i="5"/>
  <c r="K21" i="5" s="1"/>
  <c r="I21" i="5"/>
  <c r="I20" i="5"/>
  <c r="L20" i="5"/>
  <c r="I19" i="5"/>
  <c r="L19" i="5"/>
  <c r="I18" i="5"/>
  <c r="J17" i="5"/>
  <c r="K17" i="5" s="1"/>
  <c r="I17" i="5"/>
  <c r="I16" i="5"/>
  <c r="L16" i="5"/>
  <c r="I15" i="5"/>
  <c r="L15" i="5"/>
  <c r="I14" i="5"/>
  <c r="J13" i="5"/>
  <c r="K13" i="5" s="1"/>
  <c r="I13" i="5"/>
  <c r="L13" i="5"/>
  <c r="I12" i="5"/>
  <c r="L12" i="5"/>
  <c r="I11" i="5"/>
  <c r="L11" i="5"/>
  <c r="I10" i="5"/>
  <c r="J9" i="5"/>
  <c r="K9" i="5" s="1"/>
  <c r="I9" i="5"/>
  <c r="I29" i="5" s="1"/>
  <c r="I92" i="5" s="1"/>
  <c r="I8" i="5"/>
  <c r="I7" i="5"/>
  <c r="L7" i="5"/>
  <c r="I6" i="5"/>
  <c r="J5" i="5"/>
  <c r="K5" i="5" s="1"/>
  <c r="I5" i="5"/>
  <c r="I4" i="5"/>
  <c r="L4" i="5"/>
  <c r="I3" i="5"/>
  <c r="L3" i="5"/>
  <c r="I2" i="5"/>
  <c r="J84" i="5" l="1"/>
  <c r="K84" i="5" s="1"/>
  <c r="L84" i="5"/>
  <c r="J91" i="5"/>
  <c r="K91" i="5" s="1"/>
  <c r="L91" i="5"/>
  <c r="J12" i="5"/>
  <c r="K12" i="5" s="1"/>
  <c r="J16" i="5"/>
  <c r="K16" i="5" s="1"/>
  <c r="J20" i="5"/>
  <c r="K20" i="5" s="1"/>
  <c r="J52" i="5"/>
  <c r="K52" i="5" s="1"/>
  <c r="L52" i="5"/>
  <c r="J76" i="5"/>
  <c r="K76" i="5" s="1"/>
  <c r="L76" i="5"/>
  <c r="I93" i="5"/>
  <c r="L6" i="5"/>
  <c r="J7" i="5"/>
  <c r="K7" i="5" s="1"/>
  <c r="L10" i="5"/>
  <c r="J11" i="5"/>
  <c r="K11" i="5" s="1"/>
  <c r="L14" i="5"/>
  <c r="J15" i="5"/>
  <c r="K15" i="5" s="1"/>
  <c r="L18" i="5"/>
  <c r="J19" i="5"/>
  <c r="K19" i="5" s="1"/>
  <c r="L22" i="5"/>
  <c r="J23" i="5"/>
  <c r="K23" i="5" s="1"/>
  <c r="L26" i="5"/>
  <c r="J68" i="5"/>
  <c r="K68" i="5" s="1"/>
  <c r="L68" i="5"/>
  <c r="J4" i="5"/>
  <c r="K4" i="5" s="1"/>
  <c r="L2" i="5"/>
  <c r="J3" i="5"/>
  <c r="K3" i="5" s="1"/>
  <c r="J2" i="5"/>
  <c r="K2" i="5" s="1"/>
  <c r="L5" i="5"/>
  <c r="J6" i="5"/>
  <c r="K6" i="5" s="1"/>
  <c r="L9" i="5"/>
  <c r="J10" i="5"/>
  <c r="K10" i="5" s="1"/>
  <c r="J14" i="5"/>
  <c r="K14" i="5" s="1"/>
  <c r="L17" i="5"/>
  <c r="J18" i="5"/>
  <c r="K18" i="5" s="1"/>
  <c r="L21" i="5"/>
  <c r="J22" i="5"/>
  <c r="K22" i="5" s="1"/>
  <c r="L25" i="5"/>
  <c r="J60" i="5"/>
  <c r="K60" i="5" s="1"/>
  <c r="L60" i="5"/>
  <c r="L108" i="5"/>
  <c r="J108" i="5"/>
  <c r="K108" i="5" s="1"/>
  <c r="L133" i="5"/>
  <c r="J133" i="5"/>
  <c r="K133" i="5" s="1"/>
  <c r="J74" i="5"/>
  <c r="K74" i="5" s="1"/>
  <c r="J82" i="5"/>
  <c r="K82" i="5" s="1"/>
  <c r="J90" i="5"/>
  <c r="K90" i="5" s="1"/>
  <c r="L117" i="5"/>
  <c r="J117" i="5"/>
  <c r="K117" i="5" s="1"/>
  <c r="L156" i="5"/>
  <c r="J156" i="5"/>
  <c r="K156" i="5" s="1"/>
  <c r="J58" i="5"/>
  <c r="K58" i="5" s="1"/>
  <c r="J66" i="5"/>
  <c r="K66" i="5" s="1"/>
  <c r="J49" i="5"/>
  <c r="K49" i="5" s="1"/>
  <c r="J57" i="5"/>
  <c r="K57" i="5" s="1"/>
  <c r="J65" i="5"/>
  <c r="K65" i="5" s="1"/>
  <c r="J73" i="5"/>
  <c r="K73" i="5" s="1"/>
  <c r="J81" i="5"/>
  <c r="K81" i="5" s="1"/>
  <c r="J89" i="5"/>
  <c r="K89" i="5" s="1"/>
  <c r="L98" i="5"/>
  <c r="J98" i="5"/>
  <c r="K98" i="5" s="1"/>
  <c r="L102" i="5"/>
  <c r="L113" i="5"/>
  <c r="J113" i="5"/>
  <c r="K113" i="5" s="1"/>
  <c r="L116" i="5"/>
  <c r="J116" i="5"/>
  <c r="K116" i="5" s="1"/>
  <c r="L126" i="5"/>
  <c r="J126" i="5"/>
  <c r="K126" i="5" s="1"/>
  <c r="J48" i="5"/>
  <c r="K48" i="5" s="1"/>
  <c r="L51" i="5"/>
  <c r="J56" i="5"/>
  <c r="K56" i="5" s="1"/>
  <c r="L59" i="5"/>
  <c r="J64" i="5"/>
  <c r="K64" i="5" s="1"/>
  <c r="L67" i="5"/>
  <c r="J72" i="5"/>
  <c r="K72" i="5" s="1"/>
  <c r="L75" i="5"/>
  <c r="J80" i="5"/>
  <c r="K80" i="5" s="1"/>
  <c r="L83" i="5"/>
  <c r="J88" i="5"/>
  <c r="K88" i="5" s="1"/>
  <c r="L129" i="5"/>
  <c r="L150" i="5"/>
  <c r="J150" i="5"/>
  <c r="K150" i="5" s="1"/>
  <c r="L97" i="5"/>
  <c r="J97" i="5"/>
  <c r="K97" i="5" s="1"/>
  <c r="L101" i="5"/>
  <c r="J101" i="5"/>
  <c r="K101" i="5" s="1"/>
  <c r="J102" i="5"/>
  <c r="K102" i="5" s="1"/>
  <c r="L134" i="5"/>
  <c r="J134" i="5"/>
  <c r="K134" i="5" s="1"/>
  <c r="J147" i="5"/>
  <c r="K147" i="5" s="1"/>
  <c r="L164" i="5"/>
  <c r="J164" i="5"/>
  <c r="K164" i="5" s="1"/>
  <c r="L109" i="5"/>
  <c r="J109" i="5"/>
  <c r="K109" i="5" s="1"/>
  <c r="J129" i="5"/>
  <c r="K129" i="5" s="1"/>
  <c r="L125" i="5"/>
  <c r="J125" i="5"/>
  <c r="K125" i="5" s="1"/>
  <c r="L141" i="5"/>
  <c r="J141" i="5"/>
  <c r="K141" i="5" s="1"/>
  <c r="L157" i="5"/>
  <c r="J157" i="5"/>
  <c r="K157" i="5" s="1"/>
  <c r="J45" i="5"/>
  <c r="K45" i="5" s="1"/>
  <c r="J53" i="5"/>
  <c r="K53" i="5" s="1"/>
  <c r="J61" i="5"/>
  <c r="K61" i="5" s="1"/>
  <c r="J69" i="5"/>
  <c r="K69" i="5" s="1"/>
  <c r="J77" i="5"/>
  <c r="K77" i="5" s="1"/>
  <c r="J85" i="5"/>
  <c r="K85" i="5" s="1"/>
  <c r="L88" i="5"/>
  <c r="L105" i="5"/>
  <c r="J105" i="5"/>
  <c r="K105" i="5" s="1"/>
  <c r="L121" i="5"/>
  <c r="J121" i="5"/>
  <c r="K121" i="5" s="1"/>
  <c r="L137" i="5"/>
  <c r="J137" i="5"/>
  <c r="K137" i="5" s="1"/>
  <c r="L149" i="5"/>
  <c r="J149" i="5"/>
  <c r="K149" i="5" s="1"/>
  <c r="L188" i="5"/>
  <c r="J188" i="5"/>
  <c r="K188" i="5" s="1"/>
  <c r="L196" i="5"/>
  <c r="J196" i="5"/>
  <c r="K196" i="5" s="1"/>
  <c r="L172" i="5"/>
  <c r="J172" i="5"/>
  <c r="K172" i="5" s="1"/>
  <c r="L180" i="5"/>
  <c r="J180" i="5"/>
  <c r="K180" i="5" s="1"/>
  <c r="L191" i="5"/>
  <c r="J191" i="5"/>
  <c r="K191" i="5" s="1"/>
  <c r="L199" i="5"/>
  <c r="J199" i="5"/>
  <c r="K199" i="5" s="1"/>
  <c r="L171" i="5"/>
  <c r="L205" i="5"/>
  <c r="J205" i="5"/>
  <c r="K205" i="5" s="1"/>
  <c r="L99" i="5"/>
  <c r="L107" i="5"/>
  <c r="L115" i="5"/>
  <c r="L123" i="5"/>
  <c r="L131" i="5"/>
  <c r="L139" i="5"/>
  <c r="L147" i="5"/>
  <c r="L154" i="5"/>
  <c r="L162" i="5"/>
  <c r="L168" i="5"/>
  <c r="L106" i="5"/>
  <c r="L114" i="5"/>
  <c r="L122" i="5"/>
  <c r="J124" i="5"/>
  <c r="K124" i="5" s="1"/>
  <c r="L130" i="5"/>
  <c r="J132" i="5"/>
  <c r="K132" i="5" s="1"/>
  <c r="L138" i="5"/>
  <c r="J140" i="5"/>
  <c r="K140" i="5" s="1"/>
  <c r="L146" i="5"/>
  <c r="J148" i="5"/>
  <c r="K148" i="5" s="1"/>
  <c r="L153" i="5"/>
  <c r="J155" i="5"/>
  <c r="K155" i="5" s="1"/>
  <c r="L161" i="5"/>
  <c r="J163" i="5"/>
  <c r="K163" i="5" s="1"/>
  <c r="J171" i="5"/>
  <c r="K171" i="5" s="1"/>
  <c r="L207" i="5"/>
  <c r="J207" i="5"/>
  <c r="K207" i="5" s="1"/>
  <c r="L215" i="5"/>
  <c r="J215" i="5"/>
  <c r="K215" i="5" s="1"/>
  <c r="L223" i="5"/>
  <c r="J223" i="5"/>
  <c r="K223" i="5" s="1"/>
  <c r="L231" i="5"/>
  <c r="J231" i="5"/>
  <c r="K231" i="5" s="1"/>
  <c r="L239" i="5"/>
  <c r="J239" i="5"/>
  <c r="K239" i="5" s="1"/>
  <c r="L173" i="5"/>
  <c r="J173" i="5"/>
  <c r="K173" i="5" s="1"/>
  <c r="L181" i="5"/>
  <c r="J181" i="5"/>
  <c r="K181" i="5" s="1"/>
  <c r="L204" i="5"/>
  <c r="J204" i="5"/>
  <c r="K204" i="5" s="1"/>
  <c r="L212" i="5"/>
  <c r="J212" i="5"/>
  <c r="K212" i="5" s="1"/>
  <c r="L220" i="5"/>
  <c r="J220" i="5"/>
  <c r="K220" i="5" s="1"/>
  <c r="L228" i="5"/>
  <c r="J228" i="5"/>
  <c r="K228" i="5" s="1"/>
  <c r="L236" i="5"/>
  <c r="J236" i="5"/>
  <c r="K236" i="5" s="1"/>
  <c r="L96" i="5"/>
  <c r="L104" i="5"/>
  <c r="J106" i="5"/>
  <c r="K106" i="5" s="1"/>
  <c r="L112" i="5"/>
  <c r="J114" i="5"/>
  <c r="K114" i="5" s="1"/>
  <c r="L120" i="5"/>
  <c r="J122" i="5"/>
  <c r="K122" i="5" s="1"/>
  <c r="L128" i="5"/>
  <c r="J130" i="5"/>
  <c r="K130" i="5" s="1"/>
  <c r="L136" i="5"/>
  <c r="J138" i="5"/>
  <c r="K138" i="5" s="1"/>
  <c r="J146" i="5"/>
  <c r="K146" i="5" s="1"/>
  <c r="J153" i="5"/>
  <c r="K153" i="5" s="1"/>
  <c r="L159" i="5"/>
  <c r="J161" i="5"/>
  <c r="K161" i="5" s="1"/>
  <c r="L166" i="5"/>
  <c r="L189" i="5"/>
  <c r="J189" i="5"/>
  <c r="K189" i="5" s="1"/>
  <c r="L197" i="5"/>
  <c r="J197" i="5"/>
  <c r="K197" i="5" s="1"/>
  <c r="L103" i="5"/>
  <c r="L111" i="5"/>
  <c r="L127" i="5"/>
  <c r="L135" i="5"/>
  <c r="J152" i="5"/>
  <c r="K152" i="5" s="1"/>
  <c r="L158" i="5"/>
  <c r="J160" i="5"/>
  <c r="K160" i="5" s="1"/>
  <c r="J167" i="5"/>
  <c r="K167" i="5" s="1"/>
  <c r="L175" i="5"/>
  <c r="J175" i="5"/>
  <c r="K175" i="5" s="1"/>
  <c r="L183" i="5"/>
  <c r="J183" i="5"/>
  <c r="K183" i="5" s="1"/>
  <c r="L247" i="5"/>
  <c r="J247" i="5"/>
  <c r="K247" i="5" s="1"/>
  <c r="L177" i="5"/>
  <c r="J177" i="5"/>
  <c r="K177" i="5" s="1"/>
  <c r="L193" i="5"/>
  <c r="J193" i="5"/>
  <c r="K193" i="5" s="1"/>
  <c r="L201" i="5"/>
  <c r="J201" i="5"/>
  <c r="K201" i="5" s="1"/>
  <c r="L209" i="5"/>
  <c r="J209" i="5"/>
  <c r="K209" i="5" s="1"/>
  <c r="L225" i="5"/>
  <c r="J225" i="5"/>
  <c r="K225" i="5" s="1"/>
  <c r="L233" i="5"/>
  <c r="J233" i="5"/>
  <c r="K233" i="5" s="1"/>
  <c r="L241" i="5"/>
  <c r="J241" i="5"/>
  <c r="K241" i="5" s="1"/>
  <c r="L174" i="5"/>
  <c r="J174" i="5"/>
  <c r="K174" i="5" s="1"/>
  <c r="L182" i="5"/>
  <c r="J182" i="5"/>
  <c r="K182" i="5" s="1"/>
  <c r="L190" i="5"/>
  <c r="J190" i="5"/>
  <c r="K190" i="5" s="1"/>
  <c r="L198" i="5"/>
  <c r="J198" i="5"/>
  <c r="K198" i="5" s="1"/>
  <c r="L206" i="5"/>
  <c r="J206" i="5"/>
  <c r="K206" i="5" s="1"/>
  <c r="L214" i="5"/>
  <c r="J214" i="5"/>
  <c r="K214" i="5" s="1"/>
  <c r="L222" i="5"/>
  <c r="J222" i="5"/>
  <c r="K222" i="5" s="1"/>
  <c r="L230" i="5"/>
  <c r="J230" i="5"/>
  <c r="K230" i="5" s="1"/>
  <c r="L238" i="5"/>
  <c r="J238" i="5"/>
  <c r="K238" i="5" s="1"/>
  <c r="L246" i="5"/>
  <c r="J246" i="5"/>
  <c r="K246" i="5" s="1"/>
  <c r="L179" i="5"/>
  <c r="J179" i="5"/>
  <c r="K179" i="5" s="1"/>
  <c r="L187" i="5"/>
  <c r="J187" i="5"/>
  <c r="K187" i="5" s="1"/>
  <c r="L195" i="5"/>
  <c r="J195" i="5"/>
  <c r="K195" i="5" s="1"/>
  <c r="L203" i="5"/>
  <c r="J203" i="5"/>
  <c r="K203" i="5" s="1"/>
  <c r="L211" i="5"/>
  <c r="J211" i="5"/>
  <c r="K211" i="5" s="1"/>
  <c r="L219" i="5"/>
  <c r="J219" i="5"/>
  <c r="K219" i="5" s="1"/>
  <c r="L227" i="5"/>
  <c r="J227" i="5"/>
  <c r="K227" i="5" s="1"/>
  <c r="L235" i="5"/>
  <c r="J235" i="5"/>
  <c r="K235" i="5" s="1"/>
  <c r="L176" i="5"/>
  <c r="J176" i="5"/>
  <c r="K176" i="5" s="1"/>
  <c r="L192" i="5"/>
  <c r="J192" i="5"/>
  <c r="K192" i="5" s="1"/>
  <c r="L208" i="5"/>
  <c r="J208" i="5"/>
  <c r="K208" i="5" s="1"/>
  <c r="L224" i="5"/>
  <c r="J224" i="5"/>
  <c r="K224" i="5" s="1"/>
  <c r="L232" i="5"/>
  <c r="J232" i="5"/>
  <c r="K232" i="5" s="1"/>
  <c r="L240" i="5"/>
  <c r="J240" i="5"/>
  <c r="K240" i="5" s="1"/>
  <c r="L248" i="5"/>
  <c r="J248" i="5"/>
  <c r="K248" i="5" s="1"/>
  <c r="L213" i="5"/>
  <c r="J213" i="5"/>
  <c r="K213" i="5" s="1"/>
  <c r="L221" i="5"/>
  <c r="J221" i="5"/>
  <c r="K221" i="5" s="1"/>
  <c r="L229" i="5"/>
  <c r="J229" i="5"/>
  <c r="K229" i="5" s="1"/>
  <c r="L237" i="5"/>
  <c r="J237" i="5"/>
  <c r="K237" i="5" s="1"/>
  <c r="L245" i="5"/>
  <c r="J245" i="5"/>
  <c r="K245" i="5" s="1"/>
  <c r="L169" i="5"/>
  <c r="L178" i="5"/>
  <c r="J178" i="5"/>
  <c r="K178" i="5" s="1"/>
  <c r="L186" i="5"/>
  <c r="J186" i="5"/>
  <c r="K186" i="5" s="1"/>
  <c r="L194" i="5"/>
  <c r="J194" i="5"/>
  <c r="K194" i="5" s="1"/>
  <c r="L202" i="5"/>
  <c r="J202" i="5"/>
  <c r="K202" i="5" s="1"/>
  <c r="L210" i="5"/>
  <c r="J210" i="5"/>
  <c r="K210" i="5" s="1"/>
  <c r="L218" i="5"/>
  <c r="J218" i="5"/>
  <c r="K218" i="5" s="1"/>
  <c r="L226" i="5"/>
  <c r="J226" i="5"/>
  <c r="K226" i="5" s="1"/>
  <c r="L234" i="5"/>
  <c r="J234" i="5"/>
  <c r="K234" i="5" s="1"/>
  <c r="L242" i="5" l="1"/>
  <c r="J242" i="5"/>
  <c r="K242" i="5" s="1"/>
  <c r="L184" i="5"/>
  <c r="J184" i="5"/>
  <c r="K184" i="5" s="1"/>
  <c r="L8" i="5"/>
  <c r="J8" i="5"/>
  <c r="K8" i="5" s="1"/>
  <c r="J50" i="5"/>
  <c r="K50" i="5" s="1"/>
  <c r="L50" i="5"/>
  <c r="L110" i="5"/>
  <c r="J110" i="5"/>
  <c r="K110" i="5" s="1"/>
  <c r="L200" i="5"/>
  <c r="J200" i="5"/>
  <c r="K200" i="5" s="1"/>
  <c r="L151" i="5"/>
  <c r="J151" i="5"/>
  <c r="K151" i="5" s="1"/>
  <c r="L165" i="5"/>
  <c r="J165" i="5"/>
  <c r="K165" i="5" s="1"/>
  <c r="J87" i="5"/>
  <c r="K87" i="5" s="1"/>
  <c r="L87" i="5"/>
  <c r="J70" i="5"/>
  <c r="K70" i="5" s="1"/>
  <c r="L70" i="5"/>
  <c r="L29" i="5"/>
  <c r="J29" i="5"/>
  <c r="K29" i="5" s="1"/>
  <c r="I144" i="5"/>
  <c r="I94" i="5"/>
  <c r="L216" i="5"/>
  <c r="J216" i="5"/>
  <c r="K216" i="5" s="1"/>
  <c r="L170" i="5"/>
  <c r="J170" i="5"/>
  <c r="K170" i="5" s="1"/>
  <c r="L249" i="5"/>
  <c r="J249" i="5"/>
  <c r="K249" i="5" s="1"/>
  <c r="L119" i="5"/>
  <c r="J119" i="5"/>
  <c r="K119" i="5" s="1"/>
  <c r="L142" i="5"/>
  <c r="J142" i="5"/>
  <c r="K142" i="5" s="1"/>
  <c r="L217" i="5" l="1"/>
  <c r="J217" i="5"/>
  <c r="K217" i="5" s="1"/>
  <c r="L93" i="5"/>
  <c r="J93" i="5"/>
  <c r="K93" i="5" s="1"/>
  <c r="I185" i="5"/>
  <c r="I243" i="5" s="1"/>
  <c r="I145" i="5"/>
  <c r="L143" i="5"/>
  <c r="J143" i="5"/>
  <c r="K143" i="5" s="1"/>
  <c r="J92" i="5"/>
  <c r="K92" i="5" s="1"/>
  <c r="L92" i="5"/>
  <c r="L94" i="5" l="1"/>
  <c r="J94" i="5"/>
  <c r="K94" i="5" s="1"/>
  <c r="L144" i="5"/>
  <c r="J144" i="5"/>
  <c r="K144" i="5" s="1"/>
  <c r="I250" i="5"/>
  <c r="I251" i="5" s="1"/>
  <c r="I244" i="5"/>
  <c r="L145" i="5" l="1"/>
  <c r="J145" i="5"/>
  <c r="K145" i="5" s="1"/>
  <c r="L185" i="5"/>
  <c r="J185" i="5"/>
  <c r="K185" i="5" s="1"/>
  <c r="L243" i="5" l="1"/>
  <c r="J243" i="5"/>
  <c r="K243" i="5" s="1"/>
  <c r="L244" i="5" l="1"/>
  <c r="J244" i="5"/>
  <c r="K244" i="5" s="1"/>
  <c r="L250" i="5"/>
  <c r="J250" i="5"/>
  <c r="K250" i="5" s="1"/>
  <c r="L251" i="5" l="1"/>
  <c r="J251" i="5"/>
  <c r="K25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tc={F89BF881-AD17-44AF-A9D8-7392CB4BDD28}</author>
    <author>tc={67C21620-B64E-4FEA-890E-7BE65322FA06}</author>
    <author>tc={13995A71-E9B6-4A17-B9AE-D39AE8BE91DC}</author>
    <author>moh eny</author>
    <author>tc={78CE69B0-EDE6-48DF-9B8B-30C25449275E}</author>
    <author>tc={1679BD2F-03CD-438B-A1F4-F58913D36A78}</author>
    <author>tc={993342E7-7A15-4408-8541-5A8B4ED3171B}</author>
  </authors>
  <commentList>
    <comment ref="G70" authorId="0" shapeId="0" xr:uid="{F89BF881-AD17-44AF-A9D8-7392CB4BDD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Comment le cout de conditionnement en YTD peut être positif?</t>
      </text>
    </comment>
    <comment ref="H70" authorId="1" shapeId="0" xr:uid="{67C21620-B64E-4FEA-890E-7BE65322F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Comment le cout de conditionnement en YTD peut être positif?</t>
      </text>
    </comment>
    <comment ref="I70" authorId="2" shapeId="0" xr:uid="{13995A71-E9B6-4A17-B9AE-D39AE8BE91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Comment le cout de conditionnement en YTD peut être positif?</t>
      </text>
    </comment>
    <comment ref="J110" authorId="3" shapeId="0" xr:uid="{31FBE866-9143-404E-91DB-D8585ACE6692}">
      <text>
        <r>
          <rPr>
            <b/>
            <sz val="9"/>
            <color indexed="81"/>
            <rFont val="Tahoma"/>
            <family val="2"/>
          </rPr>
          <t>moh eny:</t>
        </r>
        <r>
          <rPr>
            <sz val="9"/>
            <color indexed="81"/>
            <rFont val="Tahoma"/>
            <family val="2"/>
          </rPr>
          <t xml:space="preserve">
PLUSIEURS CID HORS MAINTENANCE</t>
        </r>
      </text>
    </comment>
    <comment ref="G151" authorId="4" shapeId="0" xr:uid="{78CE69B0-EDE6-48DF-9B8B-30C2544927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sur les D&amp;A, on passe de 3.1ldhs LY à 1.8mdhs cette année, une baisse de 1.3mdhs (-43%)</t>
      </text>
    </comment>
    <comment ref="H151" authorId="5" shapeId="0" xr:uid="{1679BD2F-03CD-438B-A1F4-F58913D36A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sur les D&amp;A, on passe de 3.1ldhs LY à 1.8mdhs cette année, une baisse de 1.3mdhs (-43%)</t>
      </text>
    </comment>
    <comment ref="I151" authorId="6" shapeId="0" xr:uid="{993342E7-7A15-4408-8541-5A8B4ED317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Same sur les D&amp;A, on passe de 3.1ldhs LY à 1.8mdhs cette année, une baisse de 1.3mdhs (-43%)</t>
      </text>
    </comment>
  </commentList>
</comments>
</file>

<file path=xl/sharedStrings.xml><?xml version="1.0" encoding="utf-8"?>
<sst xmlns="http://schemas.openxmlformats.org/spreadsheetml/2006/main" count="1143" uniqueCount="904">
  <si>
    <t>AYMEN/ENNYLY</t>
  </si>
  <si>
    <t>AYOUB</t>
  </si>
  <si>
    <t>CONTROLEUR DE GESTION</t>
  </si>
  <si>
    <t>MAMOUN</t>
  </si>
  <si>
    <t>ACHAT APPRO STOCK</t>
  </si>
  <si>
    <t>IMAD</t>
  </si>
  <si>
    <t>COMPTABLE</t>
  </si>
  <si>
    <t>HASSAN</t>
  </si>
  <si>
    <t>MASTER DATA</t>
  </si>
  <si>
    <t>SAP</t>
  </si>
  <si>
    <t>CF MC</t>
  </si>
  <si>
    <t>CONSULTANT</t>
  </si>
  <si>
    <t>AZURA AQUACULTURE</t>
  </si>
  <si>
    <t>CCS</t>
  </si>
  <si>
    <t>DAKHLA</t>
  </si>
  <si>
    <t>DIRECTEUR ADMINISTRATIF ET FINANCIER</t>
  </si>
  <si>
    <t>&gt; SAP</t>
  </si>
  <si>
    <t>&gt; GESTION COMPTABLE</t>
  </si>
  <si>
    <t>&gt; GESTION CONTRÔLE DE GESTION</t>
  </si>
  <si>
    <t>&gt; GESTION ACHAT APPRO STOCK</t>
  </si>
  <si>
    <t>&gt; TRESORERIE</t>
  </si>
  <si>
    <t xml:space="preserve">ACTUELLEMENT </t>
  </si>
  <si>
    <t>&gt; FORMATION COMPTABLE</t>
  </si>
  <si>
    <t>&gt; FORMATION CONTRÔLE DE GESTION</t>
  </si>
  <si>
    <t>&gt; ENCADREMENT MASTER DATA</t>
  </si>
  <si>
    <t>&gt; SUPPORT ACHAT APPRO</t>
  </si>
  <si>
    <t>MOIS DECEMBRE</t>
  </si>
  <si>
    <t>ANTONIO GAMERO ESPAGNOLE</t>
  </si>
  <si>
    <t>PROJET IA</t>
  </si>
  <si>
    <t xml:space="preserve">* Outil IA analyse BD estran </t>
  </si>
  <si>
    <t xml:space="preserve">* Outil IA production Résultat YTD vS B vS N-1 et analyse GL </t>
  </si>
  <si>
    <t>* Outil IA Kpi DA en instance et BC Non livré</t>
  </si>
  <si>
    <t xml:space="preserve">BD EXCEL : </t>
  </si>
  <si>
    <t>AYMANE</t>
  </si>
  <si>
    <t xml:space="preserve">????? OUTIL </t>
  </si>
  <si>
    <t>CONTRAINTES</t>
  </si>
  <si>
    <t>RESPONSABLE</t>
  </si>
  <si>
    <t>AYOUB/YOUSRA</t>
  </si>
  <si>
    <t>BAL COMPTABLE/GL COMPTABLE
MODELE REPORTING</t>
  </si>
  <si>
    <t>IMAD/AYOUB</t>
  </si>
  <si>
    <t>TB EXEMPLE</t>
  </si>
  <si>
    <t>N° Parc de semi</t>
  </si>
  <si>
    <t>N PARC AN</t>
  </si>
  <si>
    <t>génaration de semi</t>
  </si>
  <si>
    <t>N° Ligne</t>
  </si>
  <si>
    <t>ETT</t>
  </si>
  <si>
    <t xml:space="preserve">Phase </t>
  </si>
  <si>
    <t xml:space="preserve">Origine </t>
  </si>
  <si>
    <t>Type du semi</t>
  </si>
  <si>
    <t>Longueur ligne</t>
  </si>
  <si>
    <t>Nombre de ligne semé (200m)</t>
  </si>
  <si>
    <t>Orientation W -&gt; E</t>
  </si>
  <si>
    <t>Type de ligne</t>
  </si>
  <si>
    <t>Zone</t>
  </si>
  <si>
    <t>Type de semi destiné</t>
  </si>
  <si>
    <t>Altitude (m)</t>
  </si>
  <si>
    <t>BATCH naissains</t>
  </si>
  <si>
    <t>Lots prégro</t>
  </si>
  <si>
    <t>Date semis</t>
  </si>
  <si>
    <t>Durée prégro</t>
  </si>
  <si>
    <t xml:space="preserve">age naissain (mois) </t>
  </si>
  <si>
    <t>Effectif semé</t>
  </si>
  <si>
    <t>Effectif semé (équiv. 200m)</t>
  </si>
  <si>
    <t>Densité demandée</t>
  </si>
  <si>
    <t>Quantité semée (Kg)</t>
  </si>
  <si>
    <t>Poid smoyen de re-semi (g)</t>
  </si>
  <si>
    <t>Taille semé</t>
  </si>
  <si>
    <t>Conformité de semi</t>
  </si>
  <si>
    <t>Séparation</t>
  </si>
  <si>
    <t>état de la récolte</t>
  </si>
  <si>
    <t xml:space="preserve">Objectif récolte </t>
  </si>
  <si>
    <t>Date récolte</t>
  </si>
  <si>
    <t xml:space="preserve">% de récolte </t>
  </si>
  <si>
    <t>Métrage de récolte (m)</t>
  </si>
  <si>
    <t>Nombre de ligne récolté (200m)</t>
  </si>
  <si>
    <t>métrage restant</t>
  </si>
  <si>
    <t>Nombre de ligne restante (200m)</t>
  </si>
  <si>
    <t xml:space="preserve">Type de récolte </t>
  </si>
  <si>
    <t xml:space="preserve">Age TD (mois) </t>
  </si>
  <si>
    <t>résidence estran (mois)</t>
  </si>
  <si>
    <t>Quantité brute récoltée (Kg)</t>
  </si>
  <si>
    <t>Quantité de casse (Kg)</t>
  </si>
  <si>
    <t xml:space="preserve">Date nettoyage coque </t>
  </si>
  <si>
    <t>Coque au nettoyage (kg)</t>
  </si>
  <si>
    <t>coque à la récolte (Kg)</t>
  </si>
  <si>
    <t>Coque (kg)</t>
  </si>
  <si>
    <t>C8 (Kg)</t>
  </si>
  <si>
    <t>C7 (Kg)</t>
  </si>
  <si>
    <t>C8+C7 (kg)</t>
  </si>
  <si>
    <t>C6 (kg)</t>
  </si>
  <si>
    <t>V (kg)</t>
  </si>
  <si>
    <t>V (Kg) /200m</t>
  </si>
  <si>
    <t>TOT (Kg)</t>
  </si>
  <si>
    <t>Kg récolté/m²</t>
  </si>
  <si>
    <t>% C8</t>
  </si>
  <si>
    <t>% C7</t>
  </si>
  <si>
    <t>%C8+C7</t>
  </si>
  <si>
    <t xml:space="preserve">%C6 </t>
  </si>
  <si>
    <t>%V</t>
  </si>
  <si>
    <t>Pm C8 (g)</t>
  </si>
  <si>
    <t>Pm C7 (g)</t>
  </si>
  <si>
    <t>Pm C8+C7 (g)</t>
  </si>
  <si>
    <t>PM C6 (g)</t>
  </si>
  <si>
    <t>PM V (g)</t>
  </si>
  <si>
    <t xml:space="preserve">PM TOT (g) </t>
  </si>
  <si>
    <t>Effectif C8</t>
  </si>
  <si>
    <t>Effectif C7</t>
  </si>
  <si>
    <t>Effectif C8+C7</t>
  </si>
  <si>
    <t xml:space="preserve">Effectif C6 </t>
  </si>
  <si>
    <t xml:space="preserve">Effectif V </t>
  </si>
  <si>
    <t>Effectif total</t>
  </si>
  <si>
    <t>Effectif total (équiv. 200m)</t>
  </si>
  <si>
    <t>Effectif récolté/m²</t>
  </si>
  <si>
    <t>poids mortalité (kg)</t>
  </si>
  <si>
    <t>taux de recapture %</t>
  </si>
  <si>
    <t>Vendable prévisionnel juin 25/26 (200m)</t>
  </si>
  <si>
    <t>HC prévisionnel juin 25/26 (200m)</t>
  </si>
  <si>
    <t>C6 prévisionnel juin 25/26 (200m)2</t>
  </si>
  <si>
    <t>% de recapture prévisionnel (Déc 25)</t>
  </si>
  <si>
    <t>Poids myen prévisionnel (g)</t>
  </si>
  <si>
    <t>Rendement total prévisionnel (Kg)</t>
  </si>
  <si>
    <t>% C8 prévisionnel</t>
  </si>
  <si>
    <t>% C7 prévisionnel</t>
  </si>
  <si>
    <t>% C6 prévisionnel</t>
  </si>
  <si>
    <t>% Vendable prévisionnel</t>
  </si>
  <si>
    <t>Quantité C8 prévisionnel</t>
  </si>
  <si>
    <t>Quantité C7 prévisionnel</t>
  </si>
  <si>
    <t xml:space="preserve">Quantité C6 prévisionnel </t>
  </si>
  <si>
    <t>Quantité Vendable prévisionnel</t>
  </si>
  <si>
    <t xml:space="preserve">Statut </t>
  </si>
  <si>
    <t>PARC &lt;11GR</t>
  </si>
  <si>
    <t>LIGNES &lt;11GR</t>
  </si>
  <si>
    <t>DATE TRANS</t>
  </si>
  <si>
    <t>BIOMASSE
GR</t>
  </si>
  <si>
    <t>PARC &gt;11GR</t>
  </si>
  <si>
    <t xml:space="preserve">DATE SORTIE </t>
  </si>
  <si>
    <t>YEAR</t>
  </si>
  <si>
    <t>MONTH</t>
  </si>
  <si>
    <t>BIOMASSE
VENDABLE KG</t>
  </si>
  <si>
    <t>DATE SORTIE 2</t>
  </si>
  <si>
    <t>YEAR 2</t>
  </si>
  <si>
    <t>MONTH 2</t>
  </si>
  <si>
    <t>BIOMASSE
VENDABLE 2 KG</t>
  </si>
  <si>
    <t>DATE SORTIE 3</t>
  </si>
  <si>
    <t>YEAR 3</t>
  </si>
  <si>
    <t>MONTH 3</t>
  </si>
  <si>
    <t>BIOMASSE
VENDABLE 3 KG</t>
  </si>
  <si>
    <t>P5 (22)</t>
  </si>
  <si>
    <t>P5</t>
  </si>
  <si>
    <t xml:space="preserve">grossissement </t>
  </si>
  <si>
    <t>NE</t>
  </si>
  <si>
    <t>Manuel</t>
  </si>
  <si>
    <t xml:space="preserve">Sans filet </t>
  </si>
  <si>
    <t>Est</t>
  </si>
  <si>
    <t>HC</t>
  </si>
  <si>
    <t>Soldé</t>
  </si>
  <si>
    <t/>
  </si>
  <si>
    <t>Non prêt</t>
  </si>
  <si>
    <t>P4 (22)</t>
  </si>
  <si>
    <t>P4</t>
  </si>
  <si>
    <t>CODE</t>
  </si>
  <si>
    <t>O</t>
  </si>
  <si>
    <t>GR</t>
  </si>
  <si>
    <t>PERIODE YTD 12 2025</t>
  </si>
  <si>
    <t>N-1</t>
  </si>
  <si>
    <t>B</t>
  </si>
  <si>
    <t>F</t>
  </si>
  <si>
    <t>R</t>
  </si>
  <si>
    <t>F FY</t>
  </si>
  <si>
    <t>VAR B/R</t>
  </si>
  <si>
    <t>%</t>
  </si>
  <si>
    <t>VAR R/N-1</t>
  </si>
  <si>
    <t>P1110</t>
  </si>
  <si>
    <t>1</t>
  </si>
  <si>
    <t>AC</t>
  </si>
  <si>
    <t>Production vendue</t>
  </si>
  <si>
    <t>P1111</t>
  </si>
  <si>
    <t>2</t>
  </si>
  <si>
    <t>Prestations de services</t>
  </si>
  <si>
    <t>P1112</t>
  </si>
  <si>
    <t>3</t>
  </si>
  <si>
    <t>Ventes de marchandises</t>
  </si>
  <si>
    <t>P1113</t>
  </si>
  <si>
    <t>4</t>
  </si>
  <si>
    <t>Produits des activités annexes</t>
  </si>
  <si>
    <t>P1114</t>
  </si>
  <si>
    <t>5</t>
  </si>
  <si>
    <t>Rabais, remises et ristournes accordés par l'entreprise</t>
  </si>
  <si>
    <t>P1115</t>
  </si>
  <si>
    <t>6</t>
  </si>
  <si>
    <t>Variation des stocks (en-cours de production, produits)</t>
  </si>
  <si>
    <t>7</t>
  </si>
  <si>
    <t>P1119T - Chiffre d'affaires</t>
  </si>
  <si>
    <t>P1121</t>
  </si>
  <si>
    <t>8</t>
  </si>
  <si>
    <t>Achats de matières prémières et de fournitures _Intrants  nurseries</t>
  </si>
  <si>
    <t>P1131</t>
  </si>
  <si>
    <t>9</t>
  </si>
  <si>
    <t>Energie &amp; Eau des nurseries</t>
  </si>
  <si>
    <t>P1141F</t>
  </si>
  <si>
    <t>10</t>
  </si>
  <si>
    <t>Loyers et charges locatives des nurseries_fixe</t>
  </si>
  <si>
    <t>P1141V</t>
  </si>
  <si>
    <t>11</t>
  </si>
  <si>
    <t>Loyers et charges locatives des nurseries_variable</t>
  </si>
  <si>
    <t>P1151</t>
  </si>
  <si>
    <t>12</t>
  </si>
  <si>
    <t>Transport_nurseries</t>
  </si>
  <si>
    <t>P1161F</t>
  </si>
  <si>
    <t>13</t>
  </si>
  <si>
    <t>Autres côuts des nurseries_fixe</t>
  </si>
  <si>
    <t>P1161V</t>
  </si>
  <si>
    <t>14</t>
  </si>
  <si>
    <t>Autres côuts des nurseries_variable</t>
  </si>
  <si>
    <t>P1211F</t>
  </si>
  <si>
    <t>15</t>
  </si>
  <si>
    <t>Rémunérations du personnel_nurseries_fixe</t>
  </si>
  <si>
    <t>P1211V</t>
  </si>
  <si>
    <t>16</t>
  </si>
  <si>
    <t>Rémunérations du personnel_nurseries_variable</t>
  </si>
  <si>
    <t>P1212F</t>
  </si>
  <si>
    <t>17</t>
  </si>
  <si>
    <t>Charges de sécurité sociale et de prévoyance_nurseries_fixe</t>
  </si>
  <si>
    <t>P1212V</t>
  </si>
  <si>
    <t>18</t>
  </si>
  <si>
    <t>Charges de sécurité sociale et de prévoyance_nurseries_variable</t>
  </si>
  <si>
    <t>P1213F</t>
  </si>
  <si>
    <t>19</t>
  </si>
  <si>
    <t>Impôts, taxes et versements assimilés sur rémunérations_nurseries_fixe</t>
  </si>
  <si>
    <t>P1213V</t>
  </si>
  <si>
    <t>20</t>
  </si>
  <si>
    <t>Impôts, taxes et versements assimilés sur rémunérations_nurseries_variable</t>
  </si>
  <si>
    <t>P1214F</t>
  </si>
  <si>
    <t>21</t>
  </si>
  <si>
    <t>Autres charges de personnel_nurseries_fixe</t>
  </si>
  <si>
    <t>P1214V</t>
  </si>
  <si>
    <t>22</t>
  </si>
  <si>
    <t>Autres charges de personnel_nurseries_variable</t>
  </si>
  <si>
    <t>P1215F</t>
  </si>
  <si>
    <t>23</t>
  </si>
  <si>
    <t>Retraites_nurseries_fixe</t>
  </si>
  <si>
    <t>P1215V</t>
  </si>
  <si>
    <t>24</t>
  </si>
  <si>
    <t>Retraites_nurseries_variable</t>
  </si>
  <si>
    <t>P1216F</t>
  </si>
  <si>
    <t>25</t>
  </si>
  <si>
    <t>Reprise provision retraite_nurseries_fixe</t>
  </si>
  <si>
    <t>P1216V</t>
  </si>
  <si>
    <t>26</t>
  </si>
  <si>
    <t>Reprise provision retraite_nurseries_variable</t>
  </si>
  <si>
    <t>P1124</t>
  </si>
  <si>
    <t>27</t>
  </si>
  <si>
    <t>Variation des stocks de matières prémières et de fournitures _Intrants  nurseries</t>
  </si>
  <si>
    <t>28</t>
  </si>
  <si>
    <t>A</t>
  </si>
  <si>
    <t>P1299T_Nur - Coûts des nurseries</t>
  </si>
  <si>
    <t>P1122</t>
  </si>
  <si>
    <t>29</t>
  </si>
  <si>
    <t>Achats de matières prémières et de fournitures _Intrants fermes</t>
  </si>
  <si>
    <t>P1132</t>
  </si>
  <si>
    <t>30</t>
  </si>
  <si>
    <t>Energie &amp; Eau des fermes</t>
  </si>
  <si>
    <t>P1142F</t>
  </si>
  <si>
    <t>31</t>
  </si>
  <si>
    <t>Loyers et charges locatives des fermes_fixe</t>
  </si>
  <si>
    <t>P1142V</t>
  </si>
  <si>
    <t>32</t>
  </si>
  <si>
    <t>Loyers et charges locatives des fermes_variable</t>
  </si>
  <si>
    <t>P1152</t>
  </si>
  <si>
    <t>33</t>
  </si>
  <si>
    <t>Transports fermes</t>
  </si>
  <si>
    <t>P1162F</t>
  </si>
  <si>
    <t>34</t>
  </si>
  <si>
    <t>Autres couts des fermes_fixe</t>
  </si>
  <si>
    <t>P1162V</t>
  </si>
  <si>
    <t>35</t>
  </si>
  <si>
    <t>Autres couts des fermes_variable</t>
  </si>
  <si>
    <t>P1221F</t>
  </si>
  <si>
    <t>36</t>
  </si>
  <si>
    <t>Rémunérations du personnel_fermes_fixe</t>
  </si>
  <si>
    <t>P1221V</t>
  </si>
  <si>
    <t>37</t>
  </si>
  <si>
    <t>Rémunérations du personnel_fermes_variable</t>
  </si>
  <si>
    <t>P1222F</t>
  </si>
  <si>
    <t>38</t>
  </si>
  <si>
    <t>Charges de sécurité sociale et de prévoyance_fermes_fixe</t>
  </si>
  <si>
    <t>P1222V</t>
  </si>
  <si>
    <t>39</t>
  </si>
  <si>
    <t>Charges de sécurité sociale et de prévoyance_fermes_variable</t>
  </si>
  <si>
    <t>P1223F</t>
  </si>
  <si>
    <t>40</t>
  </si>
  <si>
    <t>Impôts, taxes et versements assimilés sur rémunérations_fermes_fixe</t>
  </si>
  <si>
    <t>P1223V</t>
  </si>
  <si>
    <t>41</t>
  </si>
  <si>
    <t>Impôts, taxes et versements assimilés sur rémunérations_fermes_variable</t>
  </si>
  <si>
    <t>P1224F</t>
  </si>
  <si>
    <t>42</t>
  </si>
  <si>
    <t>Autres charges de personnel_fermes_fixe</t>
  </si>
  <si>
    <t>P1224V</t>
  </si>
  <si>
    <t>43</t>
  </si>
  <si>
    <t>Autres charges de personnel_fermes_variable</t>
  </si>
  <si>
    <t>P1225F</t>
  </si>
  <si>
    <t>44</t>
  </si>
  <si>
    <t>Retraites_fermes_fixe</t>
  </si>
  <si>
    <t>P1225V</t>
  </si>
  <si>
    <t>45</t>
  </si>
  <si>
    <t>Retraites_fermes_variable</t>
  </si>
  <si>
    <t>P1226F</t>
  </si>
  <si>
    <t>46</t>
  </si>
  <si>
    <t>Reprise provision retraite_fermes_fixe</t>
  </si>
  <si>
    <t>P1226V</t>
  </si>
  <si>
    <t>47</t>
  </si>
  <si>
    <t>Reprise provision retraite_fermes_variable</t>
  </si>
  <si>
    <t>P1125</t>
  </si>
  <si>
    <t>48</t>
  </si>
  <si>
    <t>Variation des stocks de matières prémières et de fournitures _Intrants fermes</t>
  </si>
  <si>
    <t>49</t>
  </si>
  <si>
    <t>P1299T_Fer - Coûts des fermes</t>
  </si>
  <si>
    <t>P1123</t>
  </si>
  <si>
    <t>50</t>
  </si>
  <si>
    <t>Achats stockés - Matières premières (et fournitures)_Emballages conditionnement</t>
  </si>
  <si>
    <t>P1133</t>
  </si>
  <si>
    <t>51</t>
  </si>
  <si>
    <t>Energie &amp; eau conditionnement</t>
  </si>
  <si>
    <t>P1154</t>
  </si>
  <si>
    <t>52</t>
  </si>
  <si>
    <t>Transport Personnel conditionnement</t>
  </si>
  <si>
    <t>P1164F</t>
  </si>
  <si>
    <t>53</t>
  </si>
  <si>
    <t>Autres coûts de conditionnement_fixe</t>
  </si>
  <si>
    <t>P1164V</t>
  </si>
  <si>
    <t>54</t>
  </si>
  <si>
    <t>Autres coûts de conditionnement_variable</t>
  </si>
  <si>
    <t>P1241F</t>
  </si>
  <si>
    <t>55</t>
  </si>
  <si>
    <t>Rémunérations du personnel_conditionnement_fixe</t>
  </si>
  <si>
    <t>P1241V</t>
  </si>
  <si>
    <t>56</t>
  </si>
  <si>
    <t>Rémunérations du personnel_conditionnement_variable</t>
  </si>
  <si>
    <t>P1242F</t>
  </si>
  <si>
    <t>57</t>
  </si>
  <si>
    <t>Charges de sécurité sociale et de prévoyance_conditionnement_fixe</t>
  </si>
  <si>
    <t>P1242V</t>
  </si>
  <si>
    <t>58</t>
  </si>
  <si>
    <t>Charges de sécurité sociale et de prévoyance_conditionnement_variable</t>
  </si>
  <si>
    <t>P1243F</t>
  </si>
  <si>
    <t>59</t>
  </si>
  <si>
    <t>Impôts, taxes et versements assimilés sur rémunérations_conditionnement_fixe</t>
  </si>
  <si>
    <t>P1243V</t>
  </si>
  <si>
    <t>60</t>
  </si>
  <si>
    <t>Impôts, taxes et versements assimilés sur rémunérations_conditionnement_variable</t>
  </si>
  <si>
    <t>P1244F</t>
  </si>
  <si>
    <t>61</t>
  </si>
  <si>
    <t>Autres charges de personnel_conditionnement_fixe</t>
  </si>
  <si>
    <t>P1244V</t>
  </si>
  <si>
    <t>62</t>
  </si>
  <si>
    <t>Autres charges de personnel_conditionnement_variable</t>
  </si>
  <si>
    <t>P1245F</t>
  </si>
  <si>
    <t>63</t>
  </si>
  <si>
    <t>Retraites_conditionnement_fixe</t>
  </si>
  <si>
    <t>P1245V</t>
  </si>
  <si>
    <t>64</t>
  </si>
  <si>
    <t>Retraites_conditionnement_variable</t>
  </si>
  <si>
    <t>P1246F</t>
  </si>
  <si>
    <t>65</t>
  </si>
  <si>
    <t>Reprise provision retraite_conditionnement_fixe</t>
  </si>
  <si>
    <t>P1246V</t>
  </si>
  <si>
    <t>66</t>
  </si>
  <si>
    <t>Reprise provision retraite_conditionnement_variable</t>
  </si>
  <si>
    <t>P1127</t>
  </si>
  <si>
    <t>67</t>
  </si>
  <si>
    <t>Variation des autres stocks_Emballages conditionnement</t>
  </si>
  <si>
    <t>P1128</t>
  </si>
  <si>
    <t>68</t>
  </si>
  <si>
    <t>Variation des stocks_fournitures conditionnement</t>
  </si>
  <si>
    <t>69</t>
  </si>
  <si>
    <t>P1299T_Cnd - Coûts de conditionnement</t>
  </si>
  <si>
    <t>P1150</t>
  </si>
  <si>
    <t>70</t>
  </si>
  <si>
    <t>Transport de marchandises</t>
  </si>
  <si>
    <t>P1153</t>
  </si>
  <si>
    <t>71</t>
  </si>
  <si>
    <t>Transport Personnel distribution</t>
  </si>
  <si>
    <t>P1163F</t>
  </si>
  <si>
    <t>72</t>
  </si>
  <si>
    <t>Autres couts de distribution_fixe</t>
  </si>
  <si>
    <t>P1163V</t>
  </si>
  <si>
    <t>73</t>
  </si>
  <si>
    <t>Autres couts de distribution_variable</t>
  </si>
  <si>
    <t>P1231F</t>
  </si>
  <si>
    <t>74</t>
  </si>
  <si>
    <t>Rémunérations du personnel_distribution_fixe</t>
  </si>
  <si>
    <t>P1231V</t>
  </si>
  <si>
    <t>75</t>
  </si>
  <si>
    <t>Rémunérations du personnel_distribution_variable</t>
  </si>
  <si>
    <t>P1232F</t>
  </si>
  <si>
    <t>76</t>
  </si>
  <si>
    <t>Charges de sécurité sociale et de prévoyance_distribution_fixe</t>
  </si>
  <si>
    <t>P1232V</t>
  </si>
  <si>
    <t>77</t>
  </si>
  <si>
    <t>Charges de sécurité sociale et de prévoyance_distribution_variable</t>
  </si>
  <si>
    <t>P1233F</t>
  </si>
  <si>
    <t>78</t>
  </si>
  <si>
    <t>Impôts, taxes et versements assimilés sur rémunérations_distribution_fixe</t>
  </si>
  <si>
    <t>P1233V</t>
  </si>
  <si>
    <t>79</t>
  </si>
  <si>
    <t>Impôts, taxes et versements assimilés sur rémunérations_distribution_variable</t>
  </si>
  <si>
    <t>P1234F</t>
  </si>
  <si>
    <t>80</t>
  </si>
  <si>
    <t>Autres charges de personnel_distribution_fixe</t>
  </si>
  <si>
    <t>P1234V</t>
  </si>
  <si>
    <t>81</t>
  </si>
  <si>
    <t>Autres charges de personnel_distribution_variable</t>
  </si>
  <si>
    <t>P1235F</t>
  </si>
  <si>
    <t>82</t>
  </si>
  <si>
    <t>Retraites_distribution_fixe</t>
  </si>
  <si>
    <t>P1235V</t>
  </si>
  <si>
    <t>83</t>
  </si>
  <si>
    <t>Retraites_distribution_variable</t>
  </si>
  <si>
    <t>P1236F</t>
  </si>
  <si>
    <t>84</t>
  </si>
  <si>
    <t>Reprise provision retraite_distribution_fixe</t>
  </si>
  <si>
    <t>P1236V</t>
  </si>
  <si>
    <t>85</t>
  </si>
  <si>
    <t>Reprise provision retraite_distribution_variable</t>
  </si>
  <si>
    <t>86</t>
  </si>
  <si>
    <t>P1299T_Dis - Coûts de distribution</t>
  </si>
  <si>
    <t>P1120</t>
  </si>
  <si>
    <t>87</t>
  </si>
  <si>
    <t>Achats de marchandises et autres charges directes</t>
  </si>
  <si>
    <t>P1126</t>
  </si>
  <si>
    <t>88</t>
  </si>
  <si>
    <t>Variation des stocks de marchandises et des autres charges directes</t>
  </si>
  <si>
    <t>P119CL</t>
  </si>
  <si>
    <t>89</t>
  </si>
  <si>
    <t>Compte de liaison - Marge brute</t>
  </si>
  <si>
    <t>90</t>
  </si>
  <si>
    <t>P1299T_Aut - Autres charges directes</t>
  </si>
  <si>
    <t>91</t>
  </si>
  <si>
    <t>TOTAL CHARGES DIRECTES</t>
  </si>
  <si>
    <t>92</t>
  </si>
  <si>
    <t>P129T - Marge Brute</t>
  </si>
  <si>
    <t>93</t>
  </si>
  <si>
    <t>% MARGE / CA + PEC</t>
  </si>
  <si>
    <t>P1421</t>
  </si>
  <si>
    <t>94</t>
  </si>
  <si>
    <t>Sous-traitance générale_opérations</t>
  </si>
  <si>
    <t>P1422</t>
  </si>
  <si>
    <t>95</t>
  </si>
  <si>
    <t>C</t>
  </si>
  <si>
    <t>Redevances de crédit-bail_opérations</t>
  </si>
  <si>
    <t>P1423</t>
  </si>
  <si>
    <t>96</t>
  </si>
  <si>
    <t>Locations et charges locatives_opérations</t>
  </si>
  <si>
    <t>P1424</t>
  </si>
  <si>
    <t>97</t>
  </si>
  <si>
    <t>Entretien et réparations_opérations</t>
  </si>
  <si>
    <t>P1425</t>
  </si>
  <si>
    <t>98</t>
  </si>
  <si>
    <t>Primes d'assurances_opérations</t>
  </si>
  <si>
    <t>P1426</t>
  </si>
  <si>
    <t>99</t>
  </si>
  <si>
    <t>Études et recherches_opérations</t>
  </si>
  <si>
    <t>P1427</t>
  </si>
  <si>
    <t>100</t>
  </si>
  <si>
    <t>Divers_opérations</t>
  </si>
  <si>
    <t>P1428</t>
  </si>
  <si>
    <t>101</t>
  </si>
  <si>
    <t>Rémunérations d'intermédiaires et honoraires_opérations</t>
  </si>
  <si>
    <t>P1429</t>
  </si>
  <si>
    <t>102</t>
  </si>
  <si>
    <t>Publicité, publications, relations publiques_opérations</t>
  </si>
  <si>
    <t>P1430</t>
  </si>
  <si>
    <t>103</t>
  </si>
  <si>
    <t>Transports de biens et transports collectifs du personnel_opérations</t>
  </si>
  <si>
    <t>P1431</t>
  </si>
  <si>
    <t>104</t>
  </si>
  <si>
    <t>Déplacements, missions et réceptions_opérations</t>
  </si>
  <si>
    <t>P1432</t>
  </si>
  <si>
    <t>105</t>
  </si>
  <si>
    <t>Frais postaux et de télécommunications_opérations</t>
  </si>
  <si>
    <t>P1433</t>
  </si>
  <si>
    <t>106</t>
  </si>
  <si>
    <t>Services bancaires et assimilés_opérations</t>
  </si>
  <si>
    <t>P1435</t>
  </si>
  <si>
    <t>107</t>
  </si>
  <si>
    <t>Achats fournitures et petits matériels_opérations</t>
  </si>
  <si>
    <t>P1436</t>
  </si>
  <si>
    <t>108</t>
  </si>
  <si>
    <t>Variation des achats de fournitures et petits matériels_opérations</t>
  </si>
  <si>
    <t>109</t>
  </si>
  <si>
    <t>1599T -  Services extérieurs</t>
  </si>
  <si>
    <t>P1411</t>
  </si>
  <si>
    <t>110</t>
  </si>
  <si>
    <t>Impôts, taxes et versements assimilés_opérations</t>
  </si>
  <si>
    <t>P1313</t>
  </si>
  <si>
    <t>111</t>
  </si>
  <si>
    <t>Impôts, taxes et versements assimilés sur rémunérations_opérations</t>
  </si>
  <si>
    <t>112</t>
  </si>
  <si>
    <t>1599T - Impôts et taxes</t>
  </si>
  <si>
    <t>P1311</t>
  </si>
  <si>
    <t>113</t>
  </si>
  <si>
    <t>Rémunérations du personnel_opérations</t>
  </si>
  <si>
    <t>P1312</t>
  </si>
  <si>
    <t>114</t>
  </si>
  <si>
    <t>Charges de sécurité sociale et de prévoyance_opérations</t>
  </si>
  <si>
    <t>P1314</t>
  </si>
  <si>
    <t>115</t>
  </si>
  <si>
    <t>Autres charges de personnel_opérations</t>
  </si>
  <si>
    <t>P1315</t>
  </si>
  <si>
    <t>116</t>
  </si>
  <si>
    <t>Retraites_opérations</t>
  </si>
  <si>
    <t>P1316</t>
  </si>
  <si>
    <t>117</t>
  </si>
  <si>
    <t>Reprise provision retraite_opérations</t>
  </si>
  <si>
    <t>118</t>
  </si>
  <si>
    <t>1599T - Charges de personnel</t>
  </si>
  <si>
    <t>P1511</t>
  </si>
  <si>
    <t>119</t>
  </si>
  <si>
    <t>Charges de personnels Axe 5</t>
  </si>
  <si>
    <t>P1512</t>
  </si>
  <si>
    <t>120</t>
  </si>
  <si>
    <t>Impôts, taxes et versements assimilés_Axe 5</t>
  </si>
  <si>
    <t>P1513</t>
  </si>
  <si>
    <t>121</t>
  </si>
  <si>
    <t>Rémunérations d'intermédiaires et honoraires_Axe 5</t>
  </si>
  <si>
    <t>P1514</t>
  </si>
  <si>
    <t>122</t>
  </si>
  <si>
    <t>Publicité, publications, relations publiques_Axe 5</t>
  </si>
  <si>
    <t>P1515</t>
  </si>
  <si>
    <t>123</t>
  </si>
  <si>
    <t>Transports de biens et transports collectifs du personnel_Axe 5</t>
  </si>
  <si>
    <t>P1516</t>
  </si>
  <si>
    <t>124</t>
  </si>
  <si>
    <t>Déplacements, missions et réceptions_Axe 5</t>
  </si>
  <si>
    <t>P1517</t>
  </si>
  <si>
    <t>125</t>
  </si>
  <si>
    <t>Frais postaux et de télécommunications_Axe 5</t>
  </si>
  <si>
    <t>P1518</t>
  </si>
  <si>
    <t>126</t>
  </si>
  <si>
    <t>Services bancaires et assimilés_Axe 5</t>
  </si>
  <si>
    <t>P1519</t>
  </si>
  <si>
    <t>127</t>
  </si>
  <si>
    <t>Divers_Axe 5</t>
  </si>
  <si>
    <t>128</t>
  </si>
  <si>
    <t>1599T - Charges indirectes Axe 5</t>
  </si>
  <si>
    <t>P1631</t>
  </si>
  <si>
    <t>129</t>
  </si>
  <si>
    <t>Subventions</t>
  </si>
  <si>
    <t>P1632</t>
  </si>
  <si>
    <t>130</t>
  </si>
  <si>
    <t>Plus ou moins value de cession d'immobilisations opérationnelles</t>
  </si>
  <si>
    <t>P1633</t>
  </si>
  <si>
    <t>131</t>
  </si>
  <si>
    <t>Quotes - parts de résultat sur opérations faites en commun</t>
  </si>
  <si>
    <t>P1634</t>
  </si>
  <si>
    <t>132</t>
  </si>
  <si>
    <t>Gains/pertes  de change sur créances commerciales</t>
  </si>
  <si>
    <t>P1635</t>
  </si>
  <si>
    <t>133</t>
  </si>
  <si>
    <t>Produits divers de gestion courante</t>
  </si>
  <si>
    <t>P1636</t>
  </si>
  <si>
    <t>134</t>
  </si>
  <si>
    <t>Transferts de charges d'exploitation</t>
  </si>
  <si>
    <t>P1637</t>
  </si>
  <si>
    <t>135</t>
  </si>
  <si>
    <t>Reprises dépréciations et provisions pour risques et charges opérationnels</t>
  </si>
  <si>
    <t>P1622</t>
  </si>
  <si>
    <t>136</t>
  </si>
  <si>
    <t>Pertes de change sur créances commerciales</t>
  </si>
  <si>
    <t>P1623</t>
  </si>
  <si>
    <t>137</t>
  </si>
  <si>
    <t>Charges diverses de gestion courante</t>
  </si>
  <si>
    <t>P1629</t>
  </si>
  <si>
    <t>138</t>
  </si>
  <si>
    <t>Provision pour risques et charges opérationnels</t>
  </si>
  <si>
    <t>P1660</t>
  </si>
  <si>
    <t>139</t>
  </si>
  <si>
    <t>Résultat de réévaluation à la juste valeur (opérationnel)</t>
  </si>
  <si>
    <t>P159CL</t>
  </si>
  <si>
    <t>140</t>
  </si>
  <si>
    <t>Compte de liaison - Résultat opérationnel</t>
  </si>
  <si>
    <t>141</t>
  </si>
  <si>
    <t>1699T - Autres produits et charges opérationnelles</t>
  </si>
  <si>
    <t>142</t>
  </si>
  <si>
    <t>TOTAL CHARGES INDIRECTES</t>
  </si>
  <si>
    <t>143</t>
  </si>
  <si>
    <t>P169T - EBITDA</t>
  </si>
  <si>
    <t>144</t>
  </si>
  <si>
    <t>EBITDA / CA + PEC</t>
  </si>
  <si>
    <t>P1730</t>
  </si>
  <si>
    <t>145</t>
  </si>
  <si>
    <t>Dépréciation des écarts d'acquisition</t>
  </si>
  <si>
    <t>P1731</t>
  </si>
  <si>
    <t>146</t>
  </si>
  <si>
    <t>Dotations aux amortissements</t>
  </si>
  <si>
    <t>P1732</t>
  </si>
  <si>
    <t>147</t>
  </si>
  <si>
    <t>Provision clients douteux</t>
  </si>
  <si>
    <t>P1733</t>
  </si>
  <si>
    <t>148</t>
  </si>
  <si>
    <t>Autres provisions pour risques</t>
  </si>
  <si>
    <t>P1734</t>
  </si>
  <si>
    <t>149</t>
  </si>
  <si>
    <t>Dotation pour dépreciation des stocks et autres actifs circulants</t>
  </si>
  <si>
    <t>150</t>
  </si>
  <si>
    <t>1799T - Dotations aux amortissements et provisions</t>
  </si>
  <si>
    <t>P1750R</t>
  </si>
  <si>
    <t>151</t>
  </si>
  <si>
    <t>Dotations aux amortissements, Terrains, Droit d'utilisation</t>
  </si>
  <si>
    <t>P1751R</t>
  </si>
  <si>
    <t>152</t>
  </si>
  <si>
    <t>Dotations aux amortissements, Agencements et aménagements de terrains, Droit d'utilisation</t>
  </si>
  <si>
    <t>P1752R</t>
  </si>
  <si>
    <t>153</t>
  </si>
  <si>
    <t>Dotations aux amortissements, Constructions, Droit d'utilisation</t>
  </si>
  <si>
    <t>P1753R</t>
  </si>
  <si>
    <t>154</t>
  </si>
  <si>
    <t xml:space="preserve">Dotations aux amortissements, Constructions sur sol d'autrui, Droit d'utilisation </t>
  </si>
  <si>
    <t>P1754R</t>
  </si>
  <si>
    <t>155</t>
  </si>
  <si>
    <t>Dotations aux amortissements, Installations techniques, matériels et outillage industriels, Droit d'utilisation</t>
  </si>
  <si>
    <t>P1755R</t>
  </si>
  <si>
    <t>156</t>
  </si>
  <si>
    <t>Dotations aux amortissements, Matériels de bureau, Droit d'utilisation</t>
  </si>
  <si>
    <t>P1756R</t>
  </si>
  <si>
    <t>157</t>
  </si>
  <si>
    <t>Dotations aux amortissements, Véhicules, Droit d'utilisation</t>
  </si>
  <si>
    <t>P1757R</t>
  </si>
  <si>
    <t>158</t>
  </si>
  <si>
    <t>Dotations aux amortissements, Matériels informatiques, Droit d'utilisation</t>
  </si>
  <si>
    <t>P1758R</t>
  </si>
  <si>
    <t>159</t>
  </si>
  <si>
    <t>Dotations aux amortissements, Autres immobilisations corporelles, Droit d'utilisation</t>
  </si>
  <si>
    <t>P1760R</t>
  </si>
  <si>
    <t>160</t>
  </si>
  <si>
    <t>Dotations aux amortissements, Logiciels, Droit d'utilisation</t>
  </si>
  <si>
    <t>P1761R</t>
  </si>
  <si>
    <t>161</t>
  </si>
  <si>
    <t>Dotations aux amortissements, Licences et franchises, Droit d'utilisation</t>
  </si>
  <si>
    <t>P1762R</t>
  </si>
  <si>
    <t>162</t>
  </si>
  <si>
    <t>Dotations aux amortissements, Brevets, marques déposées et autres droits, Droit d'utilisation</t>
  </si>
  <si>
    <t>P1763R</t>
  </si>
  <si>
    <t>163</t>
  </si>
  <si>
    <t>Dotations aux amortissements, Autres immobilisations incorporelles, Droit d'utilisation</t>
  </si>
  <si>
    <t>164</t>
  </si>
  <si>
    <t>1799TR - Dotations aux amortissements, Droit d'utilisation</t>
  </si>
  <si>
    <t>P1741</t>
  </si>
  <si>
    <t>165</t>
  </si>
  <si>
    <t>Reprises sur amortissements</t>
  </si>
  <si>
    <t>P1742</t>
  </si>
  <si>
    <t>166</t>
  </si>
  <si>
    <t>Reprise provision clients douteux</t>
  </si>
  <si>
    <t>P1743</t>
  </si>
  <si>
    <t>167</t>
  </si>
  <si>
    <t>Autres reprises de provisions pour risques</t>
  </si>
  <si>
    <t>P1744</t>
  </si>
  <si>
    <t>168</t>
  </si>
  <si>
    <t>Reprise sur dépreciation des stocks et autres actifs circulants</t>
  </si>
  <si>
    <t>169</t>
  </si>
  <si>
    <t>1799T - Reprises sur amortissements et provisions</t>
  </si>
  <si>
    <t>P1770R</t>
  </si>
  <si>
    <t>170</t>
  </si>
  <si>
    <t>Reprises sur amortissements, Terrains, Droit d'utilisation</t>
  </si>
  <si>
    <t>P1771R</t>
  </si>
  <si>
    <t>171</t>
  </si>
  <si>
    <t>Reprises sur amortissements, Agencements et aménagements de terrains, Droit d'utilisation</t>
  </si>
  <si>
    <t>P1772R</t>
  </si>
  <si>
    <t>172</t>
  </si>
  <si>
    <t>Reprises sur amortissements, Constructions, Droit d'utilisation</t>
  </si>
  <si>
    <t>P1773R</t>
  </si>
  <si>
    <t>173</t>
  </si>
  <si>
    <t xml:space="preserve">Reprises sur amortissements, Constructions sur sol d'autrui, Droit d'utilisation </t>
  </si>
  <si>
    <t>P1774R</t>
  </si>
  <si>
    <t>174</t>
  </si>
  <si>
    <t>Reprises sur amortissements, Installations techniques, matériels et outillage industriels, Droit d'utilisation</t>
  </si>
  <si>
    <t>P1775R</t>
  </si>
  <si>
    <t>175</t>
  </si>
  <si>
    <t>Reprises sur amortissements, Matériels de bureau, Droit d'utilisation</t>
  </si>
  <si>
    <t>P1776R</t>
  </si>
  <si>
    <t>176</t>
  </si>
  <si>
    <t>Reprises sur amortissements, Véhicules, Droit d'utilisation</t>
  </si>
  <si>
    <t>P1777R</t>
  </si>
  <si>
    <t>177</t>
  </si>
  <si>
    <t>Reprises sur amortissements, Matériels informatiques, Droit d'utilisation</t>
  </si>
  <si>
    <t>P1778R</t>
  </si>
  <si>
    <t>178</t>
  </si>
  <si>
    <t>Reprises sur amortissements, Autres immobilisations corporelles, Droit d'utilisation</t>
  </si>
  <si>
    <t>P1780R</t>
  </si>
  <si>
    <t>179</t>
  </si>
  <si>
    <t>Reprises sur amortissements, Logiciels, Droit d'utilisation</t>
  </si>
  <si>
    <t>P1781R</t>
  </si>
  <si>
    <t>180</t>
  </si>
  <si>
    <t>Reprises sur amortissements, Licences et franchises, Droit d'utilisation</t>
  </si>
  <si>
    <t>P1782R</t>
  </si>
  <si>
    <t>181</t>
  </si>
  <si>
    <t>Reprises sur amortissements, Brevets, marques déposées et autres droits, Droit d'utilisation</t>
  </si>
  <si>
    <t>P1783R</t>
  </si>
  <si>
    <t>182</t>
  </si>
  <si>
    <t>Reprises sur amortissements, Autres immobilisations incorporelles, Droit d'utilisation</t>
  </si>
  <si>
    <t>183</t>
  </si>
  <si>
    <t>1799TR - Reprises sur amortissements et provisions, Droit d'utilisation</t>
  </si>
  <si>
    <t>184</t>
  </si>
  <si>
    <t>P179T - EBIT</t>
  </si>
  <si>
    <t>P2110</t>
  </si>
  <si>
    <t>185</t>
  </si>
  <si>
    <t>Rep./Provisions sur titres de participation</t>
  </si>
  <si>
    <t>P2111</t>
  </si>
  <si>
    <t>186</t>
  </si>
  <si>
    <t>Rep./Provisions autres actifs financiers</t>
  </si>
  <si>
    <t>P2112</t>
  </si>
  <si>
    <t>187</t>
  </si>
  <si>
    <t>Rep./Prov. risques et ch. financiers</t>
  </si>
  <si>
    <t>P2121</t>
  </si>
  <si>
    <t>188</t>
  </si>
  <si>
    <t>Produits d'intérêts sur prêts groupe</t>
  </si>
  <si>
    <t>P2122</t>
  </si>
  <si>
    <t>189</t>
  </si>
  <si>
    <t>Produits d'intérêts sur compte courants</t>
  </si>
  <si>
    <t>P2123</t>
  </si>
  <si>
    <t>190</t>
  </si>
  <si>
    <t>Produits d'intérêts sur cashpooling</t>
  </si>
  <si>
    <t>P2130</t>
  </si>
  <si>
    <t>191</t>
  </si>
  <si>
    <t>Résultat de réévaluation à la juste valeur (financier)</t>
  </si>
  <si>
    <t>P2140</t>
  </si>
  <si>
    <t>192</t>
  </si>
  <si>
    <t>Dividendes</t>
  </si>
  <si>
    <t>P2150</t>
  </si>
  <si>
    <t>193</t>
  </si>
  <si>
    <t>Revenus actifs financiers</t>
  </si>
  <si>
    <t>P2151</t>
  </si>
  <si>
    <t>194</t>
  </si>
  <si>
    <t>Gains de change</t>
  </si>
  <si>
    <t>P2160</t>
  </si>
  <si>
    <t>195</t>
  </si>
  <si>
    <t xml:space="preserve">Prod. nets/ cession VMP </t>
  </si>
  <si>
    <t>P2170</t>
  </si>
  <si>
    <t>196</t>
  </si>
  <si>
    <t>Transfert de charges financières</t>
  </si>
  <si>
    <t>P2180</t>
  </si>
  <si>
    <t>197</t>
  </si>
  <si>
    <t>Autres produits financiers</t>
  </si>
  <si>
    <t>P2190</t>
  </si>
  <si>
    <t>198</t>
  </si>
  <si>
    <t>Produit de fusion</t>
  </si>
  <si>
    <t>199</t>
  </si>
  <si>
    <t>P229T - Produits financiers</t>
  </si>
  <si>
    <t>P2210</t>
  </si>
  <si>
    <t>200</t>
  </si>
  <si>
    <t>Dot./Provisions sur titres de participation</t>
  </si>
  <si>
    <t>P2211</t>
  </si>
  <si>
    <t>201</t>
  </si>
  <si>
    <t>Dot./Provisions sur autres actifs financiers</t>
  </si>
  <si>
    <t>P2212</t>
  </si>
  <si>
    <t>202</t>
  </si>
  <si>
    <t>Dot./Prov. risques et charges financiers</t>
  </si>
  <si>
    <t>P2221</t>
  </si>
  <si>
    <t>203</t>
  </si>
  <si>
    <t>Charges d'intérêts sur emprunts groupe</t>
  </si>
  <si>
    <t>P2222</t>
  </si>
  <si>
    <t>204</t>
  </si>
  <si>
    <t xml:space="preserve">Charges d'intérêts sur Comptes courants </t>
  </si>
  <si>
    <t>P2223</t>
  </si>
  <si>
    <t>205</t>
  </si>
  <si>
    <t>Charges d'intérêts sur cashpooling</t>
  </si>
  <si>
    <t>P2224</t>
  </si>
  <si>
    <t>206</t>
  </si>
  <si>
    <t>Charges d'intérêts sur emprunts et dettes auprès d'étb de crédit</t>
  </si>
  <si>
    <t>P2225</t>
  </si>
  <si>
    <t>207</t>
  </si>
  <si>
    <t>Charges d'intérêts sur emprunts obligataires</t>
  </si>
  <si>
    <t>P2226</t>
  </si>
  <si>
    <t>208</t>
  </si>
  <si>
    <t>Charges d'intérêts sur dette de crédit-bail</t>
  </si>
  <si>
    <t>P2227</t>
  </si>
  <si>
    <t>209</t>
  </si>
  <si>
    <t>Charges d'intérêts sur autres emprunts et dettes</t>
  </si>
  <si>
    <t>P2228</t>
  </si>
  <si>
    <t>210</t>
  </si>
  <si>
    <t>Autres charges financières</t>
  </si>
  <si>
    <t>P2230</t>
  </si>
  <si>
    <t>211</t>
  </si>
  <si>
    <t>Pertes/ actifs financiers</t>
  </si>
  <si>
    <t>P2240</t>
  </si>
  <si>
    <t>212</t>
  </si>
  <si>
    <t>Pertes de change</t>
  </si>
  <si>
    <t>P2290</t>
  </si>
  <si>
    <t>213</t>
  </si>
  <si>
    <t>Charges de fusion</t>
  </si>
  <si>
    <t>P229CL</t>
  </si>
  <si>
    <t>214</t>
  </si>
  <si>
    <t>Compte de liaison - Résultat financier</t>
  </si>
  <si>
    <t>215</t>
  </si>
  <si>
    <t>P229T - Charges financières</t>
  </si>
  <si>
    <t>216</t>
  </si>
  <si>
    <t>P299T - Résultat financier</t>
  </si>
  <si>
    <t>P3010</t>
  </si>
  <si>
    <t>217</t>
  </si>
  <si>
    <t>Produits de cessions d'immobilisations corporelles</t>
  </si>
  <si>
    <t>P3011</t>
  </si>
  <si>
    <t>218</t>
  </si>
  <si>
    <t>Produits de cessions d'immeubles de placement</t>
  </si>
  <si>
    <t>P3012</t>
  </si>
  <si>
    <t>219</t>
  </si>
  <si>
    <t>Produits de cessions d'immobilisations incorporelles</t>
  </si>
  <si>
    <t>P3013</t>
  </si>
  <si>
    <t>220</t>
  </si>
  <si>
    <t>Produits de cessions d'actifs biologiques</t>
  </si>
  <si>
    <t>P3014</t>
  </si>
  <si>
    <t>221</t>
  </si>
  <si>
    <t>Produits de cessions d'autres actifs</t>
  </si>
  <si>
    <t>P3015</t>
  </si>
  <si>
    <t>222</t>
  </si>
  <si>
    <t>Produits de cessions de titres des filiales consolidées</t>
  </si>
  <si>
    <t>P3016</t>
  </si>
  <si>
    <t>223</t>
  </si>
  <si>
    <t>Produits de cessions de titres dans d'autres entités</t>
  </si>
  <si>
    <t>P3018</t>
  </si>
  <si>
    <t>224</t>
  </si>
  <si>
    <t>Résultat de fusion</t>
  </si>
  <si>
    <t>P3019</t>
  </si>
  <si>
    <t>225</t>
  </si>
  <si>
    <t>P3020</t>
  </si>
  <si>
    <t>226</t>
  </si>
  <si>
    <t>Gain sur acquisition à des conditions avantageuses</t>
  </si>
  <si>
    <t>P3021</t>
  </si>
  <si>
    <t>227</t>
  </si>
  <si>
    <t>Provisions internes</t>
  </si>
  <si>
    <t>P3030</t>
  </si>
  <si>
    <t>228</t>
  </si>
  <si>
    <t>Autres produits non-courants</t>
  </si>
  <si>
    <t>P3040</t>
  </si>
  <si>
    <t>229</t>
  </si>
  <si>
    <t>Autres charges non courantes</t>
  </si>
  <si>
    <t>P3050</t>
  </si>
  <si>
    <t>230</t>
  </si>
  <si>
    <t>VNC des immobilisations corporelles cédées</t>
  </si>
  <si>
    <t>P3051</t>
  </si>
  <si>
    <t>231</t>
  </si>
  <si>
    <t>VNC des immeubles de placement cédés</t>
  </si>
  <si>
    <t>P3052</t>
  </si>
  <si>
    <t>232</t>
  </si>
  <si>
    <t>VNC des immobilisations incorporelles cédées</t>
  </si>
  <si>
    <t>P3053</t>
  </si>
  <si>
    <t>233</t>
  </si>
  <si>
    <t>VNC des actifs biologiques cédés</t>
  </si>
  <si>
    <t>P3054</t>
  </si>
  <si>
    <t>234</t>
  </si>
  <si>
    <t>VNC des autres actifs cédés</t>
  </si>
  <si>
    <t>P3055</t>
  </si>
  <si>
    <t>235</t>
  </si>
  <si>
    <t>VNC des titres des filiales consolidées cédés</t>
  </si>
  <si>
    <t>P3056</t>
  </si>
  <si>
    <t>236</t>
  </si>
  <si>
    <t>VNC des titres dans d'autres entités cédés</t>
  </si>
  <si>
    <t>P3060</t>
  </si>
  <si>
    <t>237</t>
  </si>
  <si>
    <t>Dotations non courantes</t>
  </si>
  <si>
    <t>P3070</t>
  </si>
  <si>
    <t>238</t>
  </si>
  <si>
    <t>Reprises/Subv.d'Invest de l'ex</t>
  </si>
  <si>
    <t>P3080</t>
  </si>
  <si>
    <t>239</t>
  </si>
  <si>
    <t>Reprises non courantes</t>
  </si>
  <si>
    <t>P399CL</t>
  </si>
  <si>
    <t>240</t>
  </si>
  <si>
    <t>Compte de liaison - Résultat non courant</t>
  </si>
  <si>
    <t>241</t>
  </si>
  <si>
    <t>P399T - Resultat non courant</t>
  </si>
  <si>
    <t>242</t>
  </si>
  <si>
    <t>P499T- Résultat avant impôts</t>
  </si>
  <si>
    <t>243</t>
  </si>
  <si>
    <t>RAI/CA</t>
  </si>
  <si>
    <t>P6000</t>
  </si>
  <si>
    <t>244</t>
  </si>
  <si>
    <t>Participation</t>
  </si>
  <si>
    <t>245</t>
  </si>
  <si>
    <t>P6000 - Participation</t>
  </si>
  <si>
    <t>P5010</t>
  </si>
  <si>
    <t>246</t>
  </si>
  <si>
    <t>Impôt exigible</t>
  </si>
  <si>
    <t>P5020</t>
  </si>
  <si>
    <t>247</t>
  </si>
  <si>
    <t>Impôt différé</t>
  </si>
  <si>
    <t>248</t>
  </si>
  <si>
    <t>P599T - Charge d'impôt</t>
  </si>
  <si>
    <t>249</t>
  </si>
  <si>
    <t>Résultat net N</t>
  </si>
  <si>
    <t>250</t>
  </si>
  <si>
    <t>RN/CA</t>
  </si>
  <si>
    <t>DA EN COURS</t>
  </si>
  <si>
    <t>BC NON LIVRES</t>
  </si>
  <si>
    <t>OK</t>
  </si>
  <si>
    <t>SI POSSIBLE COPILOT / SECURITE</t>
  </si>
  <si>
    <t>CALENDRIER</t>
  </si>
  <si>
    <t>PHASE 1</t>
  </si>
  <si>
    <t>DU 11/02 - 31/03</t>
  </si>
  <si>
    <t>PHASE 2</t>
  </si>
  <si>
    <t>ATTESTATION</t>
  </si>
  <si>
    <t>4 MOIS PROJET DONNE</t>
  </si>
  <si>
    <t>SOLUTION</t>
  </si>
  <si>
    <t>SUCCES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</si>
</sst>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;\-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sz val="8"/>
      <color theme="1" tint="4.9989318521683403E-2"/>
      <name val="Times New Roman"/>
      <family val="1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Aptos Narrow"/>
      <family val="2"/>
      <scheme val="minor"/>
    </font>
    <font>
      <sz val="8"/>
      <color theme="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588B39"/>
      </top>
      <bottom style="medium">
        <color rgb="FF588B3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4" fillId="4" borderId="0" xfId="0" applyNumberFormat="1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left" vertical="center" wrapText="1"/>
    </xf>
    <xf numFmtId="14" fontId="5" fillId="5" borderId="0" xfId="0" applyNumberFormat="1" applyFont="1" applyFill="1" applyAlignment="1">
      <alignment horizontal="center" vertical="center" wrapText="1"/>
    </xf>
    <xf numFmtId="49" fontId="6" fillId="6" borderId="0" xfId="0" applyNumberFormat="1" applyFont="1" applyFill="1"/>
    <xf numFmtId="49" fontId="6" fillId="6" borderId="0" xfId="0" applyNumberFormat="1" applyFont="1" applyFill="1" applyAlignment="1">
      <alignment horizontal="left"/>
    </xf>
    <xf numFmtId="164" fontId="6" fillId="0" borderId="0" xfId="3" applyNumberFormat="1" applyFont="1" applyFill="1" applyBorder="1" applyAlignment="1">
      <alignment horizontal="right" vertical="center"/>
    </xf>
    <xf numFmtId="164" fontId="7" fillId="0" borderId="0" xfId="3" applyNumberFormat="1" applyFont="1" applyFill="1" applyBorder="1" applyAlignment="1">
      <alignment horizontal="right" vertical="center"/>
    </xf>
    <xf numFmtId="164" fontId="8" fillId="0" borderId="0" xfId="3" applyNumberFormat="1" applyFont="1" applyFill="1" applyBorder="1" applyAlignment="1">
      <alignment horizontal="right" vertical="center"/>
    </xf>
    <xf numFmtId="9" fontId="9" fillId="0" borderId="0" xfId="2" applyFont="1" applyFill="1" applyBorder="1" applyAlignment="1">
      <alignment horizontal="right" vertical="center"/>
    </xf>
    <xf numFmtId="49" fontId="10" fillId="6" borderId="0" xfId="0" applyNumberFormat="1" applyFont="1" applyFill="1"/>
    <xf numFmtId="49" fontId="10" fillId="6" borderId="0" xfId="0" applyNumberFormat="1" applyFont="1" applyFill="1" applyAlignment="1">
      <alignment horizontal="left"/>
    </xf>
    <xf numFmtId="164" fontId="11" fillId="0" borderId="0" xfId="3" applyNumberFormat="1" applyFont="1" applyFill="1" applyBorder="1" applyAlignment="1">
      <alignment horizontal="right" vertical="center"/>
    </xf>
    <xf numFmtId="9" fontId="10" fillId="0" borderId="0" xfId="2" applyFont="1" applyFill="1" applyBorder="1" applyAlignment="1">
      <alignment horizontal="right" vertical="center"/>
    </xf>
    <xf numFmtId="0" fontId="6" fillId="6" borderId="0" xfId="4" applyFont="1" applyFill="1" applyAlignment="1">
      <alignment vertical="center"/>
    </xf>
    <xf numFmtId="0" fontId="13" fillId="3" borderId="1" xfId="4" applyFont="1" applyFill="1" applyBorder="1" applyAlignment="1">
      <alignment vertical="center" wrapText="1"/>
    </xf>
    <xf numFmtId="164" fontId="13" fillId="3" borderId="1" xfId="4" applyNumberFormat="1" applyFont="1" applyFill="1" applyBorder="1" applyAlignment="1">
      <alignment vertical="center" wrapText="1"/>
    </xf>
    <xf numFmtId="164" fontId="14" fillId="0" borderId="1" xfId="4" applyNumberFormat="1" applyFont="1" applyBorder="1" applyAlignment="1">
      <alignment vertical="center" wrapText="1"/>
    </xf>
    <xf numFmtId="9" fontId="13" fillId="3" borderId="1" xfId="2" applyFont="1" applyFill="1" applyBorder="1" applyAlignment="1">
      <alignment vertical="center" wrapText="1"/>
    </xf>
    <xf numFmtId="0" fontId="10" fillId="6" borderId="0" xfId="4" applyFont="1" applyFill="1" applyAlignment="1">
      <alignment vertical="center" wrapText="1"/>
    </xf>
    <xf numFmtId="164" fontId="6" fillId="2" borderId="0" xfId="3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vertical="center" wrapText="1"/>
    </xf>
    <xf numFmtId="164" fontId="14" fillId="7" borderId="1" xfId="4" applyNumberFormat="1" applyFont="1" applyFill="1" applyBorder="1" applyAlignment="1">
      <alignment vertical="center" wrapText="1"/>
    </xf>
    <xf numFmtId="164" fontId="8" fillId="0" borderId="1" xfId="4" applyNumberFormat="1" applyFont="1" applyBorder="1" applyAlignment="1">
      <alignment vertical="center" wrapText="1"/>
    </xf>
    <xf numFmtId="9" fontId="6" fillId="0" borderId="1" xfId="2" applyFont="1" applyBorder="1" applyAlignment="1">
      <alignment vertical="center" wrapText="1"/>
    </xf>
    <xf numFmtId="9" fontId="15" fillId="0" borderId="0" xfId="2" applyFont="1" applyFill="1" applyBorder="1" applyAlignment="1">
      <alignment horizontal="right" vertical="center"/>
    </xf>
    <xf numFmtId="164" fontId="10" fillId="6" borderId="0" xfId="4" applyNumberFormat="1" applyFont="1" applyFill="1" applyAlignment="1">
      <alignment vertical="center" wrapText="1"/>
    </xf>
    <xf numFmtId="0" fontId="10" fillId="6" borderId="1" xfId="4" applyFont="1" applyFill="1" applyBorder="1" applyAlignment="1">
      <alignment vertical="center" wrapText="1"/>
    </xf>
    <xf numFmtId="164" fontId="10" fillId="6" borderId="1" xfId="4" applyNumberFormat="1" applyFont="1" applyFill="1" applyBorder="1" applyAlignment="1">
      <alignment vertical="center" wrapText="1"/>
    </xf>
    <xf numFmtId="164" fontId="10" fillId="0" borderId="1" xfId="4" applyNumberFormat="1" applyFont="1" applyBorder="1" applyAlignment="1">
      <alignment vertical="center" wrapText="1"/>
    </xf>
    <xf numFmtId="164" fontId="11" fillId="0" borderId="1" xfId="4" applyNumberFormat="1" applyFont="1" applyBorder="1" applyAlignment="1">
      <alignment vertical="center" wrapText="1"/>
    </xf>
    <xf numFmtId="9" fontId="10" fillId="0" borderId="1" xfId="2" applyFont="1" applyBorder="1" applyAlignment="1">
      <alignment vertical="center" wrapText="1"/>
    </xf>
    <xf numFmtId="0" fontId="13" fillId="8" borderId="1" xfId="4" applyFont="1" applyFill="1" applyBorder="1" applyAlignment="1">
      <alignment vertical="center" wrapText="1"/>
    </xf>
    <xf numFmtId="164" fontId="13" fillId="8" borderId="1" xfId="4" applyNumberFormat="1" applyFont="1" applyFill="1" applyBorder="1" applyAlignment="1">
      <alignment vertical="center" wrapText="1"/>
    </xf>
    <xf numFmtId="9" fontId="13" fillId="8" borderId="1" xfId="2" applyFont="1" applyFill="1" applyBorder="1" applyAlignment="1">
      <alignment vertical="center" wrapText="1"/>
    </xf>
    <xf numFmtId="0" fontId="13" fillId="9" borderId="1" xfId="4" applyFont="1" applyFill="1" applyBorder="1" applyAlignment="1">
      <alignment vertical="center" wrapText="1"/>
    </xf>
    <xf numFmtId="164" fontId="13" fillId="9" borderId="1" xfId="4" applyNumberFormat="1" applyFont="1" applyFill="1" applyBorder="1" applyAlignment="1">
      <alignment vertical="center" wrapText="1"/>
    </xf>
    <xf numFmtId="9" fontId="13" fillId="9" borderId="1" xfId="2" applyFont="1" applyFill="1" applyBorder="1" applyAlignment="1">
      <alignment vertical="center" wrapText="1"/>
    </xf>
    <xf numFmtId="0" fontId="13" fillId="10" borderId="0" xfId="4" applyFont="1" applyFill="1" applyAlignment="1">
      <alignment vertical="center" wrapText="1"/>
    </xf>
    <xf numFmtId="164" fontId="13" fillId="10" borderId="0" xfId="4" applyNumberFormat="1" applyFont="1" applyFill="1" applyAlignment="1">
      <alignment vertical="center" wrapText="1"/>
    </xf>
    <xf numFmtId="9" fontId="4" fillId="4" borderId="0" xfId="2" applyFont="1" applyFill="1" applyBorder="1" applyAlignment="1">
      <alignment horizontal="center" vertical="center" wrapText="1"/>
    </xf>
    <xf numFmtId="9" fontId="14" fillId="0" borderId="0" xfId="2" applyFont="1" applyFill="1" applyBorder="1" applyAlignment="1">
      <alignment vertical="center" wrapText="1"/>
    </xf>
    <xf numFmtId="0" fontId="11" fillId="6" borderId="0" xfId="0" applyFont="1" applyFill="1"/>
    <xf numFmtId="164" fontId="11" fillId="3" borderId="0" xfId="3" applyNumberFormat="1" applyFont="1" applyFill="1" applyBorder="1" applyAlignment="1">
      <alignment horizontal="right" vertical="center"/>
    </xf>
    <xf numFmtId="164" fontId="16" fillId="0" borderId="0" xfId="3" applyNumberFormat="1" applyFont="1" applyFill="1" applyBorder="1" applyAlignment="1">
      <alignment horizontal="right" vertical="center"/>
    </xf>
    <xf numFmtId="0" fontId="13" fillId="7" borderId="1" xfId="4" applyFont="1" applyFill="1" applyBorder="1" applyAlignment="1">
      <alignment vertical="center" wrapText="1"/>
    </xf>
    <xf numFmtId="164" fontId="13" fillId="7" borderId="1" xfId="4" applyNumberFormat="1" applyFont="1" applyFill="1" applyBorder="1" applyAlignment="1">
      <alignment vertical="center" wrapText="1"/>
    </xf>
    <xf numFmtId="0" fontId="6" fillId="6" borderId="1" xfId="4" applyFont="1" applyFill="1" applyBorder="1" applyAlignment="1">
      <alignment vertical="center" wrapText="1"/>
    </xf>
    <xf numFmtId="164" fontId="6" fillId="6" borderId="1" xfId="4" applyNumberFormat="1" applyFont="1" applyFill="1" applyBorder="1" applyAlignment="1">
      <alignment vertical="center" wrapText="1"/>
    </xf>
    <xf numFmtId="164" fontId="6" fillId="0" borderId="1" xfId="4" applyNumberFormat="1" applyFont="1" applyBorder="1" applyAlignment="1">
      <alignment vertical="center" wrapText="1"/>
    </xf>
    <xf numFmtId="0" fontId="8" fillId="6" borderId="1" xfId="4" applyFont="1" applyFill="1" applyBorder="1" applyAlignment="1">
      <alignment vertical="center" wrapText="1"/>
    </xf>
    <xf numFmtId="9" fontId="4" fillId="4" borderId="0" xfId="2" applyFont="1" applyFill="1" applyAlignment="1">
      <alignment horizontal="center" vertical="center" wrapText="1"/>
    </xf>
    <xf numFmtId="0" fontId="14" fillId="10" borderId="0" xfId="0" applyFont="1" applyFill="1"/>
    <xf numFmtId="9" fontId="14" fillId="0" borderId="0" xfId="2" applyFont="1" applyFill="1"/>
    <xf numFmtId="164" fontId="10" fillId="0" borderId="0" xfId="3" applyNumberFormat="1" applyFont="1" applyFill="1" applyBorder="1" applyAlignment="1">
      <alignment horizontal="right" vertical="center"/>
    </xf>
    <xf numFmtId="165" fontId="13" fillId="9" borderId="1" xfId="4" applyNumberFormat="1" applyFont="1" applyFill="1" applyBorder="1" applyAlignment="1">
      <alignment vertical="center" wrapText="1"/>
    </xf>
    <xf numFmtId="165" fontId="13" fillId="9" borderId="1" xfId="1" applyNumberFormat="1" applyFont="1" applyFill="1" applyBorder="1" applyAlignment="1">
      <alignment vertical="center" wrapText="1"/>
    </xf>
    <xf numFmtId="9" fontId="14" fillId="10" borderId="0" xfId="2" applyFont="1" applyFill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5">
    <cellStyle name="Milliers" xfId="1" builtinId="3"/>
    <cellStyle name="Milliers 4" xfId="3" xr:uid="{D17085D6-4C7A-42B0-B6A2-B9B57B9FADF8}"/>
    <cellStyle name="Normal" xfId="0" builtinId="0"/>
    <cellStyle name="Normal 2" xfId="4" xr:uid="{BDCEF7DA-8C7C-43F6-A23D-1BCE2B937C42}"/>
    <cellStyle name="Pourcentage" xfId="2" builtinId="5"/>
  </cellStyles>
  <dxfs count="2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9B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0</xdr:rowOff>
    </xdr:from>
    <xdr:to>
      <xdr:col>7</xdr:col>
      <xdr:colOff>38513</xdr:colOff>
      <xdr:row>33</xdr:row>
      <xdr:rowOff>175798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5E069FA-4B34-5413-E2C9-1FD4570E0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0"/>
          <a:ext cx="4770533" cy="62108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zuragroupe-my.sharepoint.com/personal/agoulma_azura-group_com/Documents/Bureau/CDG%20CCS/Reporting%20BR/BR%20YTD%2011%2025/VERSION%20FAST%20FORECAST.xlsx" TargetMode="External"/><Relationship Id="rId1" Type="http://schemas.openxmlformats.org/officeDocument/2006/relationships/externalLinkPath" Target="/personal/agoulma_azura-group_com/Documents/Reporting%20BR/BR%20YTD%2012%2025/VERSION%20FAST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"/>
      <sheetName val="FORECAST"/>
      <sheetName val="Feuil1"/>
      <sheetName val="INTEG FR"/>
      <sheetName val="Feuil4"/>
      <sheetName val="R 11 25"/>
      <sheetName val="B 25 26"/>
    </sheetNames>
    <sheetDataSet>
      <sheetData sheetId="0" refreshError="1"/>
      <sheetData sheetId="1" refreshError="1">
        <row r="1">
          <cell r="C1" t="str">
            <v>MAPPING</v>
          </cell>
          <cell r="E1" t="str">
            <v>F 25/26</v>
          </cell>
        </row>
        <row r="2">
          <cell r="C2" t="str">
            <v>P1121</v>
          </cell>
          <cell r="E2">
            <v>-480000</v>
          </cell>
        </row>
        <row r="3">
          <cell r="C3" t="str">
            <v>P1121</v>
          </cell>
          <cell r="E3">
            <v>0</v>
          </cell>
        </row>
        <row r="4">
          <cell r="C4" t="str">
            <v>P1121</v>
          </cell>
          <cell r="E4">
            <v>-240000</v>
          </cell>
        </row>
        <row r="5">
          <cell r="C5" t="str">
            <v>P1121</v>
          </cell>
          <cell r="E5">
            <v>-1080000</v>
          </cell>
        </row>
        <row r="6">
          <cell r="C6" t="str">
            <v>P1121</v>
          </cell>
          <cell r="E6">
            <v>0</v>
          </cell>
        </row>
        <row r="7">
          <cell r="C7" t="str">
            <v>P1121</v>
          </cell>
          <cell r="E7">
            <v>0</v>
          </cell>
        </row>
        <row r="8">
          <cell r="C8" t="str">
            <v>P1121</v>
          </cell>
          <cell r="E8">
            <v>0</v>
          </cell>
        </row>
        <row r="9">
          <cell r="C9" t="str">
            <v>P1121</v>
          </cell>
          <cell r="E9">
            <v>0</v>
          </cell>
        </row>
        <row r="10">
          <cell r="C10" t="str">
            <v>P1121</v>
          </cell>
          <cell r="E10">
            <v>0</v>
          </cell>
        </row>
        <row r="11">
          <cell r="C11" t="str">
            <v>P1121</v>
          </cell>
          <cell r="E11">
            <v>0</v>
          </cell>
        </row>
        <row r="12">
          <cell r="C12" t="str">
            <v>P1121</v>
          </cell>
          <cell r="E12">
            <v>0</v>
          </cell>
        </row>
        <row r="13">
          <cell r="C13" t="str">
            <v>P1121</v>
          </cell>
          <cell r="E13">
            <v>0</v>
          </cell>
        </row>
        <row r="14">
          <cell r="C14" t="str">
            <v>P1122</v>
          </cell>
          <cell r="E14">
            <v>-1438080</v>
          </cell>
        </row>
        <row r="15">
          <cell r="C15" t="str">
            <v>P1435</v>
          </cell>
          <cell r="E15">
            <v>-240000</v>
          </cell>
        </row>
        <row r="16">
          <cell r="C16" t="str">
            <v>P1161V</v>
          </cell>
          <cell r="E16">
            <v>-250000</v>
          </cell>
        </row>
        <row r="17">
          <cell r="C17" t="str">
            <v>P1121</v>
          </cell>
          <cell r="E17">
            <v>0</v>
          </cell>
        </row>
        <row r="18">
          <cell r="C18" t="str">
            <v>P1435</v>
          </cell>
          <cell r="E18">
            <v>-744000</v>
          </cell>
        </row>
        <row r="19">
          <cell r="C19" t="str">
            <v>P1435</v>
          </cell>
          <cell r="E19">
            <v>-330235</v>
          </cell>
        </row>
        <row r="20">
          <cell r="C20" t="str">
            <v>P1435</v>
          </cell>
          <cell r="E20">
            <v>0</v>
          </cell>
        </row>
        <row r="21">
          <cell r="C21" t="str">
            <v>P1435</v>
          </cell>
          <cell r="E21">
            <v>0</v>
          </cell>
        </row>
        <row r="22">
          <cell r="C22" t="str">
            <v>P1435</v>
          </cell>
          <cell r="E22">
            <v>0</v>
          </cell>
        </row>
        <row r="23">
          <cell r="C23" t="str">
            <v>P1435</v>
          </cell>
          <cell r="E23">
            <v>0</v>
          </cell>
        </row>
        <row r="24">
          <cell r="C24" t="str">
            <v>P1435</v>
          </cell>
          <cell r="E24">
            <v>0</v>
          </cell>
        </row>
        <row r="25">
          <cell r="C25" t="str">
            <v>P1435</v>
          </cell>
          <cell r="E25">
            <v>0</v>
          </cell>
        </row>
        <row r="26">
          <cell r="C26" t="str">
            <v>P1435</v>
          </cell>
          <cell r="E26">
            <v>0</v>
          </cell>
        </row>
        <row r="27">
          <cell r="C27" t="str">
            <v>P1123</v>
          </cell>
          <cell r="E27">
            <v>-934283</v>
          </cell>
        </row>
        <row r="28">
          <cell r="C28" t="str">
            <v>P1123</v>
          </cell>
          <cell r="E28">
            <v>0</v>
          </cell>
        </row>
        <row r="29">
          <cell r="C29" t="str">
            <v>P1123</v>
          </cell>
          <cell r="E29">
            <v>0</v>
          </cell>
        </row>
        <row r="30">
          <cell r="C30" t="str">
            <v>P1123</v>
          </cell>
          <cell r="E30">
            <v>0</v>
          </cell>
        </row>
        <row r="31">
          <cell r="C31" t="str">
            <v>P1123</v>
          </cell>
          <cell r="E31">
            <v>0</v>
          </cell>
        </row>
        <row r="32">
          <cell r="C32" t="str">
            <v>P1124</v>
          </cell>
          <cell r="E32">
            <v>0</v>
          </cell>
        </row>
        <row r="33">
          <cell r="C33" t="str">
            <v>P1124</v>
          </cell>
          <cell r="E33">
            <v>0</v>
          </cell>
        </row>
        <row r="34">
          <cell r="C34" t="str">
            <v>P1124</v>
          </cell>
          <cell r="E34">
            <v>0</v>
          </cell>
        </row>
        <row r="35">
          <cell r="C35" t="str">
            <v>P1124</v>
          </cell>
          <cell r="E35">
            <v>0</v>
          </cell>
        </row>
        <row r="36">
          <cell r="C36" t="str">
            <v>P1124</v>
          </cell>
          <cell r="E36">
            <v>0</v>
          </cell>
        </row>
        <row r="37">
          <cell r="C37" t="str">
            <v>P1124</v>
          </cell>
          <cell r="E37">
            <v>0</v>
          </cell>
        </row>
        <row r="38">
          <cell r="C38" t="str">
            <v>P1125</v>
          </cell>
          <cell r="E38">
            <v>0</v>
          </cell>
        </row>
        <row r="39">
          <cell r="C39" t="str">
            <v>P1125</v>
          </cell>
          <cell r="E39">
            <v>0</v>
          </cell>
        </row>
        <row r="40">
          <cell r="C40" t="str">
            <v>P1436</v>
          </cell>
          <cell r="E40">
            <v>0</v>
          </cell>
        </row>
        <row r="41">
          <cell r="C41" t="str">
            <v>P1436</v>
          </cell>
          <cell r="E41">
            <v>0</v>
          </cell>
        </row>
        <row r="42">
          <cell r="C42" t="str">
            <v>P1436</v>
          </cell>
          <cell r="E42">
            <v>0</v>
          </cell>
        </row>
        <row r="43">
          <cell r="C43" t="str">
            <v>P1436</v>
          </cell>
          <cell r="E43">
            <v>0</v>
          </cell>
        </row>
        <row r="44">
          <cell r="C44" t="str">
            <v>P1125</v>
          </cell>
          <cell r="E44">
            <v>0</v>
          </cell>
        </row>
        <row r="45">
          <cell r="C45" t="str">
            <v>P1125</v>
          </cell>
          <cell r="E45">
            <v>0</v>
          </cell>
        </row>
        <row r="46">
          <cell r="C46" t="str">
            <v>P1127</v>
          </cell>
          <cell r="E46">
            <v>0</v>
          </cell>
        </row>
        <row r="47">
          <cell r="C47" t="str">
            <v>P1127</v>
          </cell>
          <cell r="E47">
            <v>0</v>
          </cell>
        </row>
        <row r="48">
          <cell r="C48" t="str">
            <v>P1435</v>
          </cell>
          <cell r="E48">
            <v>0</v>
          </cell>
        </row>
        <row r="49">
          <cell r="C49" t="str">
            <v>P1131</v>
          </cell>
          <cell r="E49">
            <v>-444000</v>
          </cell>
        </row>
        <row r="50">
          <cell r="C50" t="str">
            <v>P1435</v>
          </cell>
          <cell r="E50">
            <v>-1178301</v>
          </cell>
        </row>
        <row r="51">
          <cell r="C51" t="str">
            <v>P1435</v>
          </cell>
          <cell r="E51">
            <v>0</v>
          </cell>
        </row>
        <row r="52">
          <cell r="C52" t="str">
            <v>P1435</v>
          </cell>
          <cell r="E52">
            <v>0</v>
          </cell>
        </row>
        <row r="53">
          <cell r="C53" t="str">
            <v>P1435</v>
          </cell>
          <cell r="E53">
            <v>0</v>
          </cell>
        </row>
        <row r="54">
          <cell r="C54" t="str">
            <v>P1435</v>
          </cell>
          <cell r="E54">
            <v>0</v>
          </cell>
        </row>
        <row r="55">
          <cell r="C55" t="str">
            <v>P1435</v>
          </cell>
          <cell r="E55">
            <v>0</v>
          </cell>
        </row>
        <row r="56">
          <cell r="C56" t="str">
            <v>P1435</v>
          </cell>
          <cell r="E56">
            <v>0</v>
          </cell>
        </row>
        <row r="57">
          <cell r="C57" t="str">
            <v>P1435</v>
          </cell>
          <cell r="E57">
            <v>-120000</v>
          </cell>
        </row>
        <row r="58">
          <cell r="C58" t="str">
            <v>P1435</v>
          </cell>
          <cell r="E58">
            <v>-2926959</v>
          </cell>
        </row>
        <row r="59">
          <cell r="C59" t="str">
            <v>P1426</v>
          </cell>
          <cell r="E59">
            <v>0</v>
          </cell>
        </row>
        <row r="60">
          <cell r="C60" t="str">
            <v>P1426</v>
          </cell>
          <cell r="E60">
            <v>0</v>
          </cell>
        </row>
        <row r="61">
          <cell r="C61" t="str">
            <v>P1426</v>
          </cell>
          <cell r="E61">
            <v>-1211550</v>
          </cell>
        </row>
        <row r="62">
          <cell r="C62" t="str">
            <v>P1162V</v>
          </cell>
          <cell r="E62">
            <v>-62500</v>
          </cell>
        </row>
        <row r="63">
          <cell r="C63" t="str">
            <v>P1161V</v>
          </cell>
          <cell r="E63">
            <v>-86000</v>
          </cell>
        </row>
        <row r="64">
          <cell r="C64" t="str">
            <v>P1427</v>
          </cell>
          <cell r="E64">
            <v>-240000</v>
          </cell>
        </row>
        <row r="65">
          <cell r="C65" t="str">
            <v>P1427</v>
          </cell>
          <cell r="E65">
            <v>-1700000</v>
          </cell>
        </row>
        <row r="66">
          <cell r="C66" t="str">
            <v>P1427</v>
          </cell>
          <cell r="E66">
            <v>-40000</v>
          </cell>
        </row>
        <row r="67">
          <cell r="C67" t="str">
            <v>P1427</v>
          </cell>
          <cell r="E67">
            <v>0</v>
          </cell>
        </row>
        <row r="68">
          <cell r="C68" t="str">
            <v>P1423</v>
          </cell>
          <cell r="E68">
            <v>-240000</v>
          </cell>
        </row>
        <row r="69">
          <cell r="C69" t="str">
            <v>P1142f</v>
          </cell>
          <cell r="E69">
            <v>-798830.04</v>
          </cell>
        </row>
        <row r="70">
          <cell r="C70" t="str">
            <v>P1423</v>
          </cell>
          <cell r="E70">
            <v>-150000</v>
          </cell>
        </row>
        <row r="71">
          <cell r="C71" t="str">
            <v>P1422</v>
          </cell>
          <cell r="E71">
            <v>-779576</v>
          </cell>
        </row>
        <row r="72">
          <cell r="C72" t="str">
            <v>P1424</v>
          </cell>
          <cell r="E72">
            <v>-1247504</v>
          </cell>
        </row>
        <row r="73">
          <cell r="C73" t="str">
            <v>P1424</v>
          </cell>
          <cell r="E73">
            <v>-164400</v>
          </cell>
        </row>
        <row r="74">
          <cell r="C74" t="str">
            <v>P1424</v>
          </cell>
          <cell r="E74">
            <v>-300000</v>
          </cell>
        </row>
        <row r="75">
          <cell r="C75" t="str">
            <v>P1424</v>
          </cell>
          <cell r="E75">
            <v>-1836004</v>
          </cell>
        </row>
        <row r="76">
          <cell r="C76" t="str">
            <v>P1425</v>
          </cell>
          <cell r="E76">
            <v>-386107</v>
          </cell>
        </row>
        <row r="77">
          <cell r="C77" t="str">
            <v>P1425</v>
          </cell>
          <cell r="E77">
            <v>-24371.8</v>
          </cell>
        </row>
        <row r="78">
          <cell r="C78" t="str">
            <v>P1425</v>
          </cell>
          <cell r="E78">
            <v>-222392.09</v>
          </cell>
        </row>
        <row r="79">
          <cell r="C79" t="str">
            <v>P1425</v>
          </cell>
          <cell r="E79">
            <v>-2618.1799999999998</v>
          </cell>
        </row>
        <row r="80">
          <cell r="C80" t="str">
            <v>P1221V</v>
          </cell>
          <cell r="E80">
            <v>-1726524</v>
          </cell>
        </row>
        <row r="81">
          <cell r="C81" t="str">
            <v>P1163V</v>
          </cell>
          <cell r="E81">
            <v>-212936</v>
          </cell>
        </row>
        <row r="82">
          <cell r="C82" t="str">
            <v>P1428</v>
          </cell>
          <cell r="E82">
            <v>-35000</v>
          </cell>
        </row>
        <row r="83">
          <cell r="C83" t="str">
            <v>P1428</v>
          </cell>
          <cell r="E83">
            <v>-100000</v>
          </cell>
        </row>
        <row r="84">
          <cell r="C84" t="str">
            <v>P1428</v>
          </cell>
          <cell r="E84">
            <v>-5000</v>
          </cell>
        </row>
        <row r="85">
          <cell r="C85" t="str">
            <v>P1427</v>
          </cell>
          <cell r="E85">
            <v>-112512</v>
          </cell>
        </row>
        <row r="86">
          <cell r="C86" t="str">
            <v>P1123</v>
          </cell>
          <cell r="E86">
            <v>-545045</v>
          </cell>
        </row>
        <row r="87">
          <cell r="C87" t="str">
            <v>P1123</v>
          </cell>
          <cell r="E87">
            <v>0</v>
          </cell>
        </row>
        <row r="88">
          <cell r="C88" t="str">
            <v>P1152</v>
          </cell>
          <cell r="E88">
            <v>-2016000</v>
          </cell>
        </row>
        <row r="89">
          <cell r="C89" t="str">
            <v>P1150</v>
          </cell>
          <cell r="E89">
            <v>-741000</v>
          </cell>
        </row>
        <row r="90">
          <cell r="C90" t="str">
            <v>P1150</v>
          </cell>
          <cell r="E90">
            <v>-2327600</v>
          </cell>
        </row>
        <row r="91">
          <cell r="C91" t="str">
            <v>P1150</v>
          </cell>
          <cell r="E91">
            <v>-4800</v>
          </cell>
        </row>
        <row r="92">
          <cell r="C92" t="str">
            <v>P1431</v>
          </cell>
          <cell r="E92">
            <v>-1100000</v>
          </cell>
        </row>
        <row r="93">
          <cell r="C93" t="str">
            <v>P1431</v>
          </cell>
          <cell r="E93">
            <v>-400000</v>
          </cell>
        </row>
        <row r="94">
          <cell r="C94" t="str">
            <v>P1432</v>
          </cell>
          <cell r="E94">
            <v>-957828</v>
          </cell>
        </row>
        <row r="95">
          <cell r="C95" t="str">
            <v>P1427</v>
          </cell>
          <cell r="E95">
            <v>0</v>
          </cell>
        </row>
        <row r="96">
          <cell r="C96" t="str">
            <v>P1433</v>
          </cell>
          <cell r="E96">
            <v>-350000</v>
          </cell>
        </row>
        <row r="97">
          <cell r="C97" t="str">
            <v>P3040</v>
          </cell>
          <cell r="E97">
            <v>0</v>
          </cell>
        </row>
        <row r="98">
          <cell r="C98" t="str">
            <v>P1411</v>
          </cell>
          <cell r="E98">
            <v>0</v>
          </cell>
        </row>
        <row r="99">
          <cell r="C99" t="str">
            <v>P1411</v>
          </cell>
          <cell r="E99">
            <v>-1500</v>
          </cell>
        </row>
        <row r="100">
          <cell r="C100" t="str">
            <v>P1411</v>
          </cell>
          <cell r="E100">
            <v>-20000</v>
          </cell>
        </row>
        <row r="101">
          <cell r="C101" t="str">
            <v>P1411</v>
          </cell>
          <cell r="E101">
            <v>-100000</v>
          </cell>
        </row>
        <row r="102">
          <cell r="C102" t="str">
            <v>P1731</v>
          </cell>
          <cell r="E102">
            <v>0</v>
          </cell>
        </row>
        <row r="103">
          <cell r="C103" t="str">
            <v>P1731</v>
          </cell>
          <cell r="E103">
            <v>-18166</v>
          </cell>
        </row>
        <row r="104">
          <cell r="C104" t="str">
            <v>P1731</v>
          </cell>
          <cell r="E104">
            <v>-3452557</v>
          </cell>
        </row>
        <row r="105">
          <cell r="C105" t="str">
            <v>P1731</v>
          </cell>
          <cell r="E105">
            <v>-4122181</v>
          </cell>
        </row>
        <row r="106">
          <cell r="C106" t="str">
            <v>P1731</v>
          </cell>
          <cell r="E106">
            <v>-2820</v>
          </cell>
        </row>
        <row r="107">
          <cell r="C107" t="str">
            <v>P1731</v>
          </cell>
          <cell r="E107">
            <v>-1160319.0000000005</v>
          </cell>
        </row>
        <row r="108">
          <cell r="C108" t="str">
            <v>P1731</v>
          </cell>
          <cell r="E108">
            <v>-4983</v>
          </cell>
        </row>
        <row r="109">
          <cell r="C109" t="str">
            <v>P1731</v>
          </cell>
          <cell r="E109">
            <v>-48144</v>
          </cell>
        </row>
        <row r="110">
          <cell r="C110" t="str">
            <v>P1731</v>
          </cell>
          <cell r="E110">
            <v>-357570</v>
          </cell>
        </row>
        <row r="111">
          <cell r="C111" t="str">
            <v>P1731</v>
          </cell>
          <cell r="E111">
            <v>-2296936.2000000002</v>
          </cell>
        </row>
        <row r="112">
          <cell r="C112" t="str">
            <v>P2224</v>
          </cell>
          <cell r="E112">
            <v>-774349</v>
          </cell>
        </row>
        <row r="113">
          <cell r="C113" t="str">
            <v>P2222</v>
          </cell>
          <cell r="E113">
            <v>-2203740</v>
          </cell>
        </row>
        <row r="114">
          <cell r="C114" t="str">
            <v>P2228</v>
          </cell>
          <cell r="E114">
            <v>0</v>
          </cell>
        </row>
        <row r="115">
          <cell r="C115" t="str">
            <v>P2227</v>
          </cell>
          <cell r="E115">
            <v>0</v>
          </cell>
        </row>
        <row r="116">
          <cell r="C116" t="str">
            <v>P2240</v>
          </cell>
          <cell r="E116">
            <v>0</v>
          </cell>
        </row>
        <row r="117">
          <cell r="C117" t="str">
            <v>P2230</v>
          </cell>
          <cell r="E117">
            <v>0</v>
          </cell>
        </row>
        <row r="118">
          <cell r="C118" t="str">
            <v>P2212</v>
          </cell>
          <cell r="E118">
            <v>0</v>
          </cell>
        </row>
        <row r="119">
          <cell r="C119" t="str">
            <v>P3052</v>
          </cell>
          <cell r="E119">
            <v>0</v>
          </cell>
        </row>
        <row r="120">
          <cell r="C120" t="str">
            <v>P3050</v>
          </cell>
          <cell r="E120">
            <v>0</v>
          </cell>
        </row>
        <row r="121">
          <cell r="C121" t="str">
            <v>P3040</v>
          </cell>
          <cell r="E121">
            <v>0</v>
          </cell>
        </row>
        <row r="122">
          <cell r="C122" t="str">
            <v>P3040</v>
          </cell>
          <cell r="E122">
            <v>-10000000</v>
          </cell>
        </row>
        <row r="123">
          <cell r="C123" t="str">
            <v>P3060</v>
          </cell>
          <cell r="E123">
            <v>0</v>
          </cell>
        </row>
        <row r="124">
          <cell r="C124" t="str">
            <v>P3060</v>
          </cell>
          <cell r="E124">
            <v>0</v>
          </cell>
        </row>
        <row r="125">
          <cell r="C125" t="str">
            <v>P5010</v>
          </cell>
          <cell r="E125">
            <v>-5065596.9436389264</v>
          </cell>
        </row>
        <row r="126">
          <cell r="C126" t="str">
            <v>P1114</v>
          </cell>
          <cell r="E126">
            <v>0</v>
          </cell>
        </row>
        <row r="127">
          <cell r="C127" t="str">
            <v>P1110</v>
          </cell>
          <cell r="E127">
            <v>115101035.829225</v>
          </cell>
        </row>
        <row r="128">
          <cell r="C128" t="str">
            <v>P1110</v>
          </cell>
          <cell r="E128">
            <v>0</v>
          </cell>
        </row>
        <row r="129">
          <cell r="C129" t="str">
            <v>P3030</v>
          </cell>
          <cell r="E129">
            <v>0</v>
          </cell>
        </row>
        <row r="130">
          <cell r="C130" t="str">
            <v>P1115</v>
          </cell>
          <cell r="E130">
            <v>15433839.859516475</v>
          </cell>
        </row>
        <row r="131">
          <cell r="C131" t="str">
            <v>P1115</v>
          </cell>
          <cell r="E131">
            <v>0</v>
          </cell>
        </row>
        <row r="132">
          <cell r="C132" t="str">
            <v>P1115</v>
          </cell>
          <cell r="E132">
            <v>0</v>
          </cell>
        </row>
        <row r="133">
          <cell r="C133" t="str">
            <v>P1635</v>
          </cell>
          <cell r="E133">
            <v>0</v>
          </cell>
        </row>
        <row r="134">
          <cell r="C134" t="str">
            <v>P1121</v>
          </cell>
          <cell r="E134">
            <v>0</v>
          </cell>
        </row>
        <row r="135">
          <cell r="C135" t="str">
            <v>P1636</v>
          </cell>
          <cell r="E135">
            <v>0</v>
          </cell>
        </row>
        <row r="136">
          <cell r="C136" t="str">
            <v>P2150</v>
          </cell>
          <cell r="E136">
            <v>0</v>
          </cell>
        </row>
        <row r="137">
          <cell r="C137" t="str">
            <v>P2121</v>
          </cell>
          <cell r="E137">
            <v>0</v>
          </cell>
        </row>
        <row r="138">
          <cell r="C138" t="str">
            <v>P2180</v>
          </cell>
          <cell r="E138">
            <v>0</v>
          </cell>
        </row>
        <row r="139">
          <cell r="C139" t="str">
            <v>P2180</v>
          </cell>
          <cell r="E139">
            <v>0</v>
          </cell>
        </row>
        <row r="140">
          <cell r="C140" t="str">
            <v>P2112</v>
          </cell>
          <cell r="E140">
            <v>0</v>
          </cell>
        </row>
        <row r="141">
          <cell r="C141" t="str">
            <v>P3012</v>
          </cell>
          <cell r="E141">
            <v>0</v>
          </cell>
        </row>
        <row r="142">
          <cell r="C142" t="str">
            <v>P3010</v>
          </cell>
          <cell r="E142">
            <v>0</v>
          </cell>
        </row>
        <row r="143">
          <cell r="C143" t="str">
            <v>P3030</v>
          </cell>
          <cell r="E143">
            <v>0</v>
          </cell>
        </row>
        <row r="144">
          <cell r="C144" t="str">
            <v>P3030</v>
          </cell>
          <cell r="E144">
            <v>0</v>
          </cell>
        </row>
        <row r="145">
          <cell r="C145" t="str">
            <v>P3030</v>
          </cell>
          <cell r="E145">
            <v>0</v>
          </cell>
        </row>
        <row r="146">
          <cell r="C146" t="str">
            <v>P1636</v>
          </cell>
          <cell r="E146">
            <v>0</v>
          </cell>
        </row>
        <row r="147">
          <cell r="C147" t="str">
            <v>P1636</v>
          </cell>
          <cell r="E147">
            <v>0</v>
          </cell>
        </row>
        <row r="148">
          <cell r="C148" t="str">
            <v>P1623</v>
          </cell>
          <cell r="E148">
            <v>0</v>
          </cell>
        </row>
        <row r="149">
          <cell r="C149" t="str">
            <v>P1131</v>
          </cell>
          <cell r="E149">
            <v>-1670712</v>
          </cell>
        </row>
        <row r="150">
          <cell r="C150" t="str">
            <v>P1133</v>
          </cell>
          <cell r="E150">
            <v>-822888</v>
          </cell>
        </row>
        <row r="151">
          <cell r="C151" t="str">
            <v>P1211F</v>
          </cell>
          <cell r="E151">
            <v>-5339989.3745804997</v>
          </cell>
        </row>
        <row r="152">
          <cell r="C152" t="str">
            <v>P1221F</v>
          </cell>
          <cell r="E152">
            <v>-3972668.3720956566</v>
          </cell>
        </row>
        <row r="153">
          <cell r="C153" t="str">
            <v>P1221V</v>
          </cell>
          <cell r="E153">
            <v>-4047260.9192952933</v>
          </cell>
        </row>
        <row r="154">
          <cell r="C154" t="str">
            <v>P1241F</v>
          </cell>
          <cell r="E154">
            <v>-1133043.0931038237</v>
          </cell>
        </row>
        <row r="155">
          <cell r="C155" t="str">
            <v>P1241V</v>
          </cell>
          <cell r="E155">
            <v>-1448923.3687297066</v>
          </cell>
        </row>
        <row r="156">
          <cell r="C156" t="str">
            <v>P1311</v>
          </cell>
          <cell r="E156">
            <v>-17121095.874552872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dellah Lahlou" id="{DADBC845-0DFD-447F-86EC-9939F72388EB}" userId="S::alahlou@azura-group.com::bbbbb3ae-d914-481c-b62f-b34b5050a7e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0" dT="2025-10-09T11:24:32.62" personId="{DADBC845-0DFD-447F-86EC-9939F72388EB}" id="{F89BF881-AD17-44AF-A9D8-7392CB4BDD28}">
    <text>Comment le cout de conditionnement en YTD peut être positif?</text>
  </threadedComment>
  <threadedComment ref="H70" dT="2025-10-09T11:24:32.62" personId="{DADBC845-0DFD-447F-86EC-9939F72388EB}" id="{67C21620-B64E-4FEA-890E-7BE65322FA06}">
    <text>Comment le cout de conditionnement en YTD peut être positif?</text>
  </threadedComment>
  <threadedComment ref="I70" dT="2025-10-09T11:24:32.62" personId="{DADBC845-0DFD-447F-86EC-9939F72388EB}" id="{13995A71-E9B6-4A17-B9AE-D39AE8BE91DC}">
    <text>Comment le cout de conditionnement en YTD peut être positif?</text>
  </threadedComment>
  <threadedComment ref="G151" dT="2025-10-09T11:26:03.07" personId="{DADBC845-0DFD-447F-86EC-9939F72388EB}" id="{78CE69B0-EDE6-48DF-9B8B-30C25449275E}">
    <text>Same sur les D&amp;A, on passe de 3.1ldhs LY à 1.8mdhs cette année, une baisse de 1.3mdhs (-43%)</text>
  </threadedComment>
  <threadedComment ref="H151" dT="2025-10-09T11:26:03.07" personId="{DADBC845-0DFD-447F-86EC-9939F72388EB}" id="{1679BD2F-03CD-438B-A1F4-F58913D36A78}">
    <text>Same sur les D&amp;A, on passe de 3.1ldhs LY à 1.8mdhs cette année, une baisse de 1.3mdhs (-43%)</text>
  </threadedComment>
  <threadedComment ref="I151" dT="2025-10-09T11:26:03.07" personId="{DADBC845-0DFD-447F-86EC-9939F72388EB}" id="{993342E7-7A15-4408-8541-5A8B4ED3171B}">
    <text>Same sur les D&amp;A, on passe de 3.1ldhs LY à 1.8mdhs cette année, une baisse de 1.3mdhs (-43%)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32D3-BB03-459F-96AA-F7D4EB71757B}">
  <dimension ref="B4:I10"/>
  <sheetViews>
    <sheetView workbookViewId="0">
      <selection activeCell="G12" sqref="G12"/>
    </sheetView>
  </sheetViews>
  <sheetFormatPr baseColWidth="10" defaultRowHeight="14.4" x14ac:dyDescent="0.3"/>
  <cols>
    <col min="5" max="5" width="17.44140625" customWidth="1"/>
  </cols>
  <sheetData>
    <row r="4" spans="2:9" x14ac:dyDescent="0.3">
      <c r="E4" s="1" t="s">
        <v>0</v>
      </c>
    </row>
    <row r="8" spans="2:9" x14ac:dyDescent="0.3">
      <c r="B8" s="1" t="s">
        <v>1</v>
      </c>
      <c r="E8" s="1" t="s">
        <v>3</v>
      </c>
      <c r="G8" s="1" t="s">
        <v>5</v>
      </c>
      <c r="I8" s="1" t="s">
        <v>7</v>
      </c>
    </row>
    <row r="9" spans="2:9" x14ac:dyDescent="0.3">
      <c r="B9" t="s">
        <v>2</v>
      </c>
      <c r="E9" t="s">
        <v>4</v>
      </c>
      <c r="G9" t="s">
        <v>6</v>
      </c>
      <c r="I9" t="s">
        <v>8</v>
      </c>
    </row>
    <row r="10" spans="2:9" x14ac:dyDescent="0.3">
      <c r="I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887B-4DDC-4BEE-852F-0995BAB36B1B}">
  <dimension ref="E4:N26"/>
  <sheetViews>
    <sheetView tabSelected="1" topLeftCell="B7" workbookViewId="0">
      <selection activeCell="N24" activeCellId="1" sqref="K26 N24"/>
    </sheetView>
  </sheetViews>
  <sheetFormatPr baseColWidth="10" defaultRowHeight="14.4" x14ac:dyDescent="0.3"/>
  <cols>
    <col min="5" max="5" width="19.21875" bestFit="1" customWidth="1"/>
    <col min="7" max="7" width="35" bestFit="1" customWidth="1"/>
    <col min="10" max="10" width="28.21875" bestFit="1" customWidth="1"/>
    <col min="11" max="11" width="14.21875" bestFit="1" customWidth="1"/>
    <col min="13" max="13" width="0" hidden="1" customWidth="1"/>
  </cols>
  <sheetData>
    <row r="4" spans="5:9" x14ac:dyDescent="0.3">
      <c r="E4" s="1" t="s">
        <v>10</v>
      </c>
      <c r="F4" t="s">
        <v>11</v>
      </c>
      <c r="G4" t="s">
        <v>21</v>
      </c>
    </row>
    <row r="5" spans="5:9" x14ac:dyDescent="0.3">
      <c r="G5" s="6" t="s">
        <v>22</v>
      </c>
    </row>
    <row r="6" spans="5:9" x14ac:dyDescent="0.3">
      <c r="G6" s="6" t="s">
        <v>23</v>
      </c>
      <c r="I6" t="s">
        <v>26</v>
      </c>
    </row>
    <row r="7" spans="5:9" x14ac:dyDescent="0.3">
      <c r="G7" s="6" t="s">
        <v>24</v>
      </c>
      <c r="I7" t="s">
        <v>27</v>
      </c>
    </row>
    <row r="8" spans="5:9" x14ac:dyDescent="0.3">
      <c r="G8" s="6" t="s">
        <v>25</v>
      </c>
    </row>
    <row r="10" spans="5:9" x14ac:dyDescent="0.3">
      <c r="E10" s="1" t="s">
        <v>12</v>
      </c>
      <c r="F10" t="s">
        <v>14</v>
      </c>
      <c r="G10" s="3" t="s">
        <v>15</v>
      </c>
      <c r="H10">
        <v>2002</v>
      </c>
      <c r="I10" s="5">
        <v>45657</v>
      </c>
    </row>
    <row r="11" spans="5:9" x14ac:dyDescent="0.3">
      <c r="E11" t="s">
        <v>13</v>
      </c>
    </row>
    <row r="12" spans="5:9" x14ac:dyDescent="0.3">
      <c r="G12" s="4" t="s">
        <v>16</v>
      </c>
    </row>
    <row r="13" spans="5:9" x14ac:dyDescent="0.3">
      <c r="G13" s="4" t="s">
        <v>17</v>
      </c>
    </row>
    <row r="14" spans="5:9" x14ac:dyDescent="0.3">
      <c r="G14" s="4" t="s">
        <v>18</v>
      </c>
    </row>
    <row r="15" spans="5:9" x14ac:dyDescent="0.3">
      <c r="G15" s="4" t="s">
        <v>19</v>
      </c>
    </row>
    <row r="16" spans="5:9" x14ac:dyDescent="0.3">
      <c r="G16" s="4" t="s">
        <v>20</v>
      </c>
    </row>
    <row r="18" spans="5:14" x14ac:dyDescent="0.3">
      <c r="J18" t="s">
        <v>13</v>
      </c>
      <c r="K18" t="s">
        <v>36</v>
      </c>
      <c r="L18" t="s">
        <v>33</v>
      </c>
      <c r="N18" t="s">
        <v>35</v>
      </c>
    </row>
    <row r="19" spans="5:14" x14ac:dyDescent="0.3">
      <c r="E19" s="1" t="s">
        <v>28</v>
      </c>
      <c r="G19" s="7" t="s">
        <v>29</v>
      </c>
      <c r="H19" s="7"/>
      <c r="I19" s="7"/>
      <c r="J19" s="7" t="s">
        <v>32</v>
      </c>
      <c r="K19" s="7" t="s">
        <v>37</v>
      </c>
      <c r="L19" s="7" t="s">
        <v>34</v>
      </c>
      <c r="N19" s="7" t="s">
        <v>895</v>
      </c>
    </row>
    <row r="20" spans="5:14" ht="28.8" x14ac:dyDescent="0.3">
      <c r="G20" s="7" t="s">
        <v>30</v>
      </c>
      <c r="H20" s="7"/>
      <c r="I20" s="7"/>
      <c r="J20" s="8" t="s">
        <v>38</v>
      </c>
      <c r="K20" s="7" t="s">
        <v>39</v>
      </c>
      <c r="L20" s="7" t="s">
        <v>34</v>
      </c>
      <c r="N20" s="7" t="s">
        <v>895</v>
      </c>
    </row>
    <row r="21" spans="5:14" x14ac:dyDescent="0.3">
      <c r="G21" s="7" t="s">
        <v>31</v>
      </c>
      <c r="H21" s="7"/>
      <c r="I21" s="7"/>
      <c r="J21" s="7" t="s">
        <v>40</v>
      </c>
      <c r="K21" s="7" t="s">
        <v>3</v>
      </c>
      <c r="L21" s="7" t="s">
        <v>34</v>
      </c>
      <c r="N21" s="7" t="s">
        <v>895</v>
      </c>
    </row>
    <row r="24" spans="5:14" x14ac:dyDescent="0.3">
      <c r="J24" s="6" t="s">
        <v>896</v>
      </c>
      <c r="K24" s="66" t="s">
        <v>897</v>
      </c>
      <c r="L24" s="66" t="s">
        <v>899</v>
      </c>
      <c r="N24" s="67" t="s">
        <v>899</v>
      </c>
    </row>
    <row r="25" spans="5:14" x14ac:dyDescent="0.3">
      <c r="K25" s="7" t="s">
        <v>898</v>
      </c>
      <c r="L25" t="s">
        <v>900</v>
      </c>
      <c r="N25" s="2" t="s">
        <v>901</v>
      </c>
    </row>
    <row r="26" spans="5:14" x14ac:dyDescent="0.3">
      <c r="K26" s="2" t="s">
        <v>903</v>
      </c>
      <c r="N26" s="2" t="s">
        <v>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3DA1-8C51-44C4-9122-C60EE5ED7BAF}">
  <dimension ref="A1:DC7"/>
  <sheetViews>
    <sheetView workbookViewId="0">
      <selection activeCell="G5" sqref="G5"/>
    </sheetView>
  </sheetViews>
  <sheetFormatPr baseColWidth="10" defaultRowHeight="14.4" x14ac:dyDescent="0.3"/>
  <sheetData>
    <row r="1" spans="1:107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</row>
    <row r="2" spans="1:107" x14ac:dyDescent="0.3">
      <c r="A2" t="s">
        <v>147</v>
      </c>
      <c r="B2" t="s">
        <v>148</v>
      </c>
      <c r="C2" t="s">
        <v>147</v>
      </c>
      <c r="D2">
        <v>33</v>
      </c>
      <c r="F2" t="s">
        <v>149</v>
      </c>
      <c r="G2" t="s">
        <v>150</v>
      </c>
      <c r="H2" t="s">
        <v>151</v>
      </c>
      <c r="I2">
        <v>200</v>
      </c>
      <c r="J2">
        <v>1</v>
      </c>
      <c r="L2" t="s">
        <v>152</v>
      </c>
      <c r="M2" t="s">
        <v>153</v>
      </c>
      <c r="N2" t="s">
        <v>154</v>
      </c>
      <c r="P2">
        <v>44377</v>
      </c>
      <c r="R2">
        <v>44580</v>
      </c>
      <c r="T2">
        <v>6.7666666666666666</v>
      </c>
      <c r="U2">
        <v>140000</v>
      </c>
      <c r="V2">
        <v>140000</v>
      </c>
      <c r="Z2">
        <v>4</v>
      </c>
      <c r="AC2" t="s">
        <v>155</v>
      </c>
      <c r="AL2">
        <v>49.466666666666669</v>
      </c>
      <c r="AM2">
        <v>-1486</v>
      </c>
      <c r="BB2" t="s">
        <v>156</v>
      </c>
      <c r="BC2" t="s">
        <v>156</v>
      </c>
      <c r="BD2" t="s">
        <v>156</v>
      </c>
      <c r="BE2" t="s">
        <v>156</v>
      </c>
      <c r="BF2" t="s">
        <v>156</v>
      </c>
      <c r="BG2" t="s">
        <v>156</v>
      </c>
      <c r="BH2" t="s">
        <v>156</v>
      </c>
      <c r="BI2" t="s">
        <v>156</v>
      </c>
      <c r="BJ2" t="s">
        <v>156</v>
      </c>
      <c r="BK2" t="s">
        <v>156</v>
      </c>
      <c r="BL2" t="s">
        <v>156</v>
      </c>
      <c r="BS2" t="s">
        <v>156</v>
      </c>
      <c r="BT2" t="s">
        <v>156</v>
      </c>
      <c r="CB2">
        <v>0</v>
      </c>
      <c r="CG2">
        <v>0</v>
      </c>
      <c r="CH2">
        <v>0</v>
      </c>
      <c r="CI2">
        <v>0</v>
      </c>
      <c r="CJ2">
        <v>0</v>
      </c>
      <c r="CK2" t="s">
        <v>157</v>
      </c>
      <c r="CL2" t="s">
        <v>147</v>
      </c>
      <c r="CM2">
        <v>33</v>
      </c>
      <c r="CN2">
        <v>44590</v>
      </c>
      <c r="CO2">
        <v>378000.00000000006</v>
      </c>
      <c r="CP2" t="s">
        <v>156</v>
      </c>
      <c r="CQ2" t="s">
        <v>156</v>
      </c>
      <c r="CR2" t="s">
        <v>156</v>
      </c>
      <c r="CS2" t="s">
        <v>156</v>
      </c>
      <c r="CT2" t="s">
        <v>156</v>
      </c>
      <c r="CU2">
        <v>44830</v>
      </c>
      <c r="CV2">
        <v>2022</v>
      </c>
      <c r="CW2">
        <v>9</v>
      </c>
      <c r="CX2">
        <v>510.30000000000013</v>
      </c>
      <c r="CY2">
        <v>45040</v>
      </c>
      <c r="CZ2">
        <v>2023</v>
      </c>
      <c r="DA2">
        <v>4</v>
      </c>
      <c r="DB2">
        <v>62.36999999999999</v>
      </c>
      <c r="DC2">
        <v>0</v>
      </c>
    </row>
    <row r="3" spans="1:107" x14ac:dyDescent="0.3">
      <c r="A3" t="s">
        <v>147</v>
      </c>
      <c r="B3" t="s">
        <v>148</v>
      </c>
      <c r="C3" t="s">
        <v>147</v>
      </c>
      <c r="D3">
        <v>34</v>
      </c>
      <c r="F3" t="s">
        <v>149</v>
      </c>
      <c r="G3" t="s">
        <v>150</v>
      </c>
      <c r="H3" t="s">
        <v>151</v>
      </c>
      <c r="I3">
        <v>200</v>
      </c>
      <c r="J3">
        <v>1</v>
      </c>
      <c r="L3" t="s">
        <v>152</v>
      </c>
      <c r="M3" t="s">
        <v>153</v>
      </c>
      <c r="N3" t="s">
        <v>154</v>
      </c>
      <c r="P3">
        <v>44377</v>
      </c>
      <c r="R3">
        <v>44580</v>
      </c>
      <c r="T3">
        <v>6.7666666666666666</v>
      </c>
      <c r="U3">
        <v>140000</v>
      </c>
      <c r="V3">
        <v>140000</v>
      </c>
      <c r="Z3">
        <v>4</v>
      </c>
      <c r="AC3" t="s">
        <v>155</v>
      </c>
      <c r="AL3">
        <v>49.466666666666669</v>
      </c>
      <c r="AM3">
        <v>-1486</v>
      </c>
      <c r="BB3" t="s">
        <v>156</v>
      </c>
      <c r="BC3" t="s">
        <v>156</v>
      </c>
      <c r="BD3" t="s">
        <v>156</v>
      </c>
      <c r="BE3" t="s">
        <v>156</v>
      </c>
      <c r="BF3" t="s">
        <v>156</v>
      </c>
      <c r="BG3" t="s">
        <v>156</v>
      </c>
      <c r="BH3" t="s">
        <v>156</v>
      </c>
      <c r="BI3" t="s">
        <v>156</v>
      </c>
      <c r="BJ3" t="s">
        <v>156</v>
      </c>
      <c r="BK3" t="s">
        <v>156</v>
      </c>
      <c r="BL3" t="s">
        <v>156</v>
      </c>
      <c r="BS3" t="s">
        <v>156</v>
      </c>
      <c r="BT3" t="s">
        <v>156</v>
      </c>
      <c r="CB3">
        <v>0</v>
      </c>
      <c r="CG3">
        <v>0</v>
      </c>
      <c r="CH3">
        <v>0</v>
      </c>
      <c r="CI3">
        <v>0</v>
      </c>
      <c r="CJ3">
        <v>0</v>
      </c>
      <c r="CK3" t="s">
        <v>157</v>
      </c>
      <c r="CL3" t="s">
        <v>147</v>
      </c>
      <c r="CM3">
        <v>34</v>
      </c>
      <c r="CN3">
        <v>44590</v>
      </c>
      <c r="CO3">
        <v>378000.00000000006</v>
      </c>
      <c r="CP3" t="s">
        <v>156</v>
      </c>
      <c r="CQ3" t="s">
        <v>156</v>
      </c>
      <c r="CR3" t="s">
        <v>156</v>
      </c>
      <c r="CS3" t="s">
        <v>156</v>
      </c>
      <c r="CT3" t="s">
        <v>156</v>
      </c>
      <c r="CU3">
        <v>44830</v>
      </c>
      <c r="CV3">
        <v>2022</v>
      </c>
      <c r="CW3">
        <v>9</v>
      </c>
      <c r="CX3">
        <v>510.30000000000013</v>
      </c>
      <c r="CY3">
        <v>45040</v>
      </c>
      <c r="CZ3">
        <v>2023</v>
      </c>
      <c r="DA3">
        <v>4</v>
      </c>
      <c r="DB3">
        <v>62.36999999999999</v>
      </c>
    </row>
    <row r="4" spans="1:107" x14ac:dyDescent="0.3">
      <c r="A4" t="s">
        <v>158</v>
      </c>
      <c r="B4" t="s">
        <v>159</v>
      </c>
      <c r="C4" t="s">
        <v>158</v>
      </c>
      <c r="D4">
        <v>17</v>
      </c>
      <c r="F4" t="s">
        <v>149</v>
      </c>
      <c r="G4" t="s">
        <v>150</v>
      </c>
      <c r="H4" t="s">
        <v>151</v>
      </c>
      <c r="I4">
        <v>200</v>
      </c>
      <c r="J4">
        <v>1</v>
      </c>
      <c r="L4" t="s">
        <v>152</v>
      </c>
      <c r="M4" t="s">
        <v>153</v>
      </c>
      <c r="N4" t="s">
        <v>154</v>
      </c>
      <c r="P4">
        <v>44377</v>
      </c>
      <c r="R4">
        <v>44616</v>
      </c>
      <c r="T4">
        <v>7.9666666666666668</v>
      </c>
      <c r="U4">
        <v>140000</v>
      </c>
      <c r="V4">
        <v>140000</v>
      </c>
      <c r="Z4">
        <v>4</v>
      </c>
      <c r="AC4" t="s">
        <v>155</v>
      </c>
      <c r="AL4">
        <v>48.266666666666666</v>
      </c>
      <c r="AM4">
        <v>-1487.2</v>
      </c>
      <c r="BB4" t="s">
        <v>156</v>
      </c>
      <c r="BC4" t="s">
        <v>156</v>
      </c>
      <c r="BD4" t="s">
        <v>156</v>
      </c>
      <c r="BE4" t="s">
        <v>156</v>
      </c>
      <c r="BF4" t="s">
        <v>156</v>
      </c>
      <c r="BG4" t="s">
        <v>156</v>
      </c>
      <c r="BH4" t="s">
        <v>156</v>
      </c>
      <c r="BI4" t="s">
        <v>156</v>
      </c>
      <c r="BJ4" t="s">
        <v>156</v>
      </c>
      <c r="BK4" t="s">
        <v>156</v>
      </c>
      <c r="BL4" t="s">
        <v>156</v>
      </c>
      <c r="BS4" t="s">
        <v>156</v>
      </c>
      <c r="BT4" t="s">
        <v>156</v>
      </c>
      <c r="CB4">
        <v>0</v>
      </c>
      <c r="CG4">
        <v>0</v>
      </c>
      <c r="CH4">
        <v>0</v>
      </c>
      <c r="CI4">
        <v>0</v>
      </c>
      <c r="CJ4">
        <v>0</v>
      </c>
      <c r="CK4" t="s">
        <v>157</v>
      </c>
      <c r="CL4" t="s">
        <v>158</v>
      </c>
      <c r="CM4">
        <v>17</v>
      </c>
      <c r="CN4">
        <v>44626</v>
      </c>
      <c r="CO4">
        <v>378000.00000000006</v>
      </c>
      <c r="CP4" t="s">
        <v>156</v>
      </c>
      <c r="CQ4" t="s">
        <v>156</v>
      </c>
      <c r="CR4" t="s">
        <v>156</v>
      </c>
      <c r="CS4" t="s">
        <v>156</v>
      </c>
      <c r="CT4" t="s">
        <v>156</v>
      </c>
      <c r="CU4">
        <v>44866</v>
      </c>
      <c r="CV4">
        <v>2022</v>
      </c>
      <c r="CW4">
        <v>11</v>
      </c>
      <c r="CX4">
        <v>510.30000000000013</v>
      </c>
      <c r="CY4">
        <v>45076</v>
      </c>
      <c r="CZ4">
        <v>2023</v>
      </c>
      <c r="DA4">
        <v>5</v>
      </c>
      <c r="DB4">
        <v>62.36999999999999</v>
      </c>
    </row>
    <row r="5" spans="1:107" x14ac:dyDescent="0.3">
      <c r="A5" t="s">
        <v>158</v>
      </c>
      <c r="B5" t="s">
        <v>159</v>
      </c>
      <c r="C5" t="s">
        <v>158</v>
      </c>
      <c r="D5">
        <v>18</v>
      </c>
      <c r="F5" t="s">
        <v>149</v>
      </c>
      <c r="G5" t="s">
        <v>150</v>
      </c>
      <c r="H5" t="s">
        <v>151</v>
      </c>
      <c r="I5">
        <v>200</v>
      </c>
      <c r="J5">
        <v>1</v>
      </c>
      <c r="L5" t="s">
        <v>152</v>
      </c>
      <c r="M5" t="s">
        <v>153</v>
      </c>
      <c r="N5" t="s">
        <v>154</v>
      </c>
      <c r="P5">
        <v>44377</v>
      </c>
      <c r="R5">
        <v>44616</v>
      </c>
      <c r="T5">
        <v>7.9666666666666668</v>
      </c>
      <c r="U5">
        <v>140000</v>
      </c>
      <c r="V5">
        <v>140000</v>
      </c>
      <c r="Z5">
        <v>4</v>
      </c>
      <c r="AC5" t="s">
        <v>155</v>
      </c>
      <c r="AL5">
        <v>48.266666666666666</v>
      </c>
      <c r="AM5">
        <v>-1487.2</v>
      </c>
      <c r="BB5" t="s">
        <v>156</v>
      </c>
      <c r="BC5" t="s">
        <v>156</v>
      </c>
      <c r="BD5" t="s">
        <v>156</v>
      </c>
      <c r="BE5" t="s">
        <v>156</v>
      </c>
      <c r="BF5" t="s">
        <v>156</v>
      </c>
      <c r="BG5" t="s">
        <v>156</v>
      </c>
      <c r="BH5" t="s">
        <v>156</v>
      </c>
      <c r="BI5" t="s">
        <v>156</v>
      </c>
      <c r="BJ5" t="s">
        <v>156</v>
      </c>
      <c r="BK5" t="s">
        <v>156</v>
      </c>
      <c r="BL5" t="s">
        <v>156</v>
      </c>
      <c r="BS5" t="s">
        <v>156</v>
      </c>
      <c r="BT5" t="s">
        <v>156</v>
      </c>
      <c r="CB5">
        <v>0</v>
      </c>
      <c r="CG5">
        <v>0</v>
      </c>
      <c r="CH5">
        <v>0</v>
      </c>
      <c r="CI5">
        <v>0</v>
      </c>
      <c r="CJ5">
        <v>0</v>
      </c>
      <c r="CK5" t="s">
        <v>157</v>
      </c>
      <c r="CL5" t="s">
        <v>158</v>
      </c>
      <c r="CM5">
        <v>18</v>
      </c>
      <c r="CN5">
        <v>44626</v>
      </c>
      <c r="CO5">
        <v>378000.00000000006</v>
      </c>
      <c r="CP5" t="s">
        <v>156</v>
      </c>
      <c r="CQ5" t="s">
        <v>156</v>
      </c>
      <c r="CR5" t="s">
        <v>156</v>
      </c>
      <c r="CS5" t="s">
        <v>156</v>
      </c>
      <c r="CT5" t="s">
        <v>156</v>
      </c>
      <c r="CU5">
        <v>44866</v>
      </c>
      <c r="CV5">
        <v>2022</v>
      </c>
      <c r="CW5">
        <v>11</v>
      </c>
      <c r="CX5">
        <v>510.30000000000013</v>
      </c>
      <c r="CY5">
        <v>45076</v>
      </c>
      <c r="CZ5">
        <v>2023</v>
      </c>
      <c r="DA5">
        <v>5</v>
      </c>
      <c r="DB5">
        <v>62.36999999999999</v>
      </c>
    </row>
    <row r="6" spans="1:107" x14ac:dyDescent="0.3">
      <c r="A6" t="s">
        <v>158</v>
      </c>
      <c r="B6" t="s">
        <v>159</v>
      </c>
      <c r="C6" t="s">
        <v>158</v>
      </c>
      <c r="D6">
        <v>19</v>
      </c>
      <c r="F6" t="s">
        <v>149</v>
      </c>
      <c r="G6" t="s">
        <v>150</v>
      </c>
      <c r="H6" t="s">
        <v>151</v>
      </c>
      <c r="I6">
        <v>200</v>
      </c>
      <c r="J6">
        <v>1</v>
      </c>
      <c r="L6" t="s">
        <v>152</v>
      </c>
      <c r="M6" t="s">
        <v>153</v>
      </c>
      <c r="N6" t="s">
        <v>154</v>
      </c>
      <c r="P6">
        <v>44377</v>
      </c>
      <c r="R6">
        <v>44616</v>
      </c>
      <c r="T6">
        <v>7.9666666666666668</v>
      </c>
      <c r="U6">
        <v>140000</v>
      </c>
      <c r="V6">
        <v>140000</v>
      </c>
      <c r="Z6">
        <v>4</v>
      </c>
      <c r="AC6" t="s">
        <v>155</v>
      </c>
      <c r="AL6">
        <v>48.266666666666666</v>
      </c>
      <c r="AM6">
        <v>-1487.2</v>
      </c>
      <c r="BB6" t="s">
        <v>156</v>
      </c>
      <c r="BC6" t="s">
        <v>156</v>
      </c>
      <c r="BD6" t="s">
        <v>156</v>
      </c>
      <c r="BE6" t="s">
        <v>156</v>
      </c>
      <c r="BF6" t="s">
        <v>156</v>
      </c>
      <c r="BG6" t="s">
        <v>156</v>
      </c>
      <c r="BH6" t="s">
        <v>156</v>
      </c>
      <c r="BI6" t="s">
        <v>156</v>
      </c>
      <c r="BJ6" t="s">
        <v>156</v>
      </c>
      <c r="BK6" t="s">
        <v>156</v>
      </c>
      <c r="BL6" t="s">
        <v>156</v>
      </c>
      <c r="BS6" t="s">
        <v>156</v>
      </c>
      <c r="BT6" t="s">
        <v>156</v>
      </c>
      <c r="CB6">
        <v>0</v>
      </c>
      <c r="CG6">
        <v>0</v>
      </c>
      <c r="CH6">
        <v>0</v>
      </c>
      <c r="CI6">
        <v>0</v>
      </c>
      <c r="CJ6">
        <v>0</v>
      </c>
      <c r="CK6" t="s">
        <v>157</v>
      </c>
      <c r="CL6" t="s">
        <v>158</v>
      </c>
      <c r="CM6">
        <v>19</v>
      </c>
      <c r="CN6">
        <v>44626</v>
      </c>
      <c r="CO6">
        <v>378000.00000000006</v>
      </c>
      <c r="CP6" t="s">
        <v>156</v>
      </c>
      <c r="CQ6" t="s">
        <v>156</v>
      </c>
      <c r="CR6" t="s">
        <v>156</v>
      </c>
      <c r="CS6" t="s">
        <v>156</v>
      </c>
      <c r="CT6" t="s">
        <v>156</v>
      </c>
      <c r="CU6">
        <v>44866</v>
      </c>
      <c r="CV6">
        <v>2022</v>
      </c>
      <c r="CW6">
        <v>11</v>
      </c>
      <c r="CX6">
        <v>510.30000000000013</v>
      </c>
      <c r="CY6">
        <v>45076</v>
      </c>
      <c r="CZ6">
        <v>2023</v>
      </c>
      <c r="DA6">
        <v>5</v>
      </c>
      <c r="DB6">
        <v>62.36999999999999</v>
      </c>
    </row>
    <row r="7" spans="1:107" x14ac:dyDescent="0.3">
      <c r="A7" t="s">
        <v>158</v>
      </c>
      <c r="B7" t="s">
        <v>159</v>
      </c>
      <c r="C7" t="s">
        <v>158</v>
      </c>
      <c r="D7">
        <v>20</v>
      </c>
      <c r="F7" t="s">
        <v>149</v>
      </c>
      <c r="G7" t="s">
        <v>150</v>
      </c>
      <c r="H7" t="s">
        <v>151</v>
      </c>
      <c r="I7">
        <v>200</v>
      </c>
      <c r="J7">
        <v>1</v>
      </c>
      <c r="L7" t="s">
        <v>152</v>
      </c>
      <c r="M7" t="s">
        <v>153</v>
      </c>
      <c r="N7" t="s">
        <v>154</v>
      </c>
      <c r="P7">
        <v>44377</v>
      </c>
      <c r="R7">
        <v>44616</v>
      </c>
      <c r="T7">
        <v>7.9666666666666668</v>
      </c>
      <c r="U7">
        <v>140000</v>
      </c>
      <c r="V7">
        <v>140000</v>
      </c>
      <c r="Z7">
        <v>4</v>
      </c>
      <c r="AC7" t="s">
        <v>155</v>
      </c>
      <c r="AL7">
        <v>48.266666666666666</v>
      </c>
      <c r="AM7">
        <v>-1487.2</v>
      </c>
      <c r="BB7" t="s">
        <v>156</v>
      </c>
      <c r="BC7" t="s">
        <v>156</v>
      </c>
      <c r="BD7" t="s">
        <v>156</v>
      </c>
      <c r="BE7" t="s">
        <v>156</v>
      </c>
      <c r="BF7" t="s">
        <v>156</v>
      </c>
      <c r="BG7" t="s">
        <v>156</v>
      </c>
      <c r="BH7" t="s">
        <v>156</v>
      </c>
      <c r="BI7" t="s">
        <v>156</v>
      </c>
      <c r="BJ7" t="s">
        <v>156</v>
      </c>
      <c r="BK7" t="s">
        <v>156</v>
      </c>
      <c r="BL7" t="s">
        <v>156</v>
      </c>
      <c r="BS7" t="s">
        <v>156</v>
      </c>
      <c r="BT7" t="s">
        <v>156</v>
      </c>
      <c r="CB7">
        <v>0</v>
      </c>
      <c r="CG7">
        <v>0</v>
      </c>
      <c r="CH7">
        <v>0</v>
      </c>
      <c r="CI7">
        <v>0</v>
      </c>
      <c r="CJ7">
        <v>0</v>
      </c>
      <c r="CK7" t="s">
        <v>157</v>
      </c>
      <c r="CL7" t="s">
        <v>158</v>
      </c>
      <c r="CM7">
        <v>20</v>
      </c>
      <c r="CN7">
        <v>44626</v>
      </c>
      <c r="CO7">
        <v>378000.00000000006</v>
      </c>
      <c r="CP7" t="s">
        <v>156</v>
      </c>
      <c r="CQ7" t="s">
        <v>156</v>
      </c>
      <c r="CR7" t="s">
        <v>156</v>
      </c>
      <c r="CS7" t="s">
        <v>156</v>
      </c>
      <c r="CT7" t="s">
        <v>156</v>
      </c>
      <c r="CU7">
        <v>44866</v>
      </c>
      <c r="CV7">
        <v>2022</v>
      </c>
      <c r="CW7">
        <v>11</v>
      </c>
      <c r="CX7">
        <v>510.30000000000013</v>
      </c>
      <c r="CY7">
        <v>45076</v>
      </c>
      <c r="CZ7">
        <v>2023</v>
      </c>
      <c r="DA7">
        <v>5</v>
      </c>
      <c r="DB7">
        <v>62.36999999999999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D81F-AF4A-4EA9-B926-5D8CD704BD46}">
  <dimension ref="A1:L251"/>
  <sheetViews>
    <sheetView workbookViewId="0">
      <selection activeCell="G2" sqref="G2"/>
    </sheetView>
  </sheetViews>
  <sheetFormatPr baseColWidth="10" defaultRowHeight="14.4" x14ac:dyDescent="0.3"/>
  <cols>
    <col min="2" max="3" width="0" hidden="1" customWidth="1"/>
    <col min="4" max="4" width="32.44140625" customWidth="1"/>
  </cols>
  <sheetData>
    <row r="1" spans="1:12" ht="22.8" x14ac:dyDescent="0.3">
      <c r="A1" s="9" t="s">
        <v>160</v>
      </c>
      <c r="B1" s="9" t="s">
        <v>161</v>
      </c>
      <c r="C1" s="9" t="s">
        <v>162</v>
      </c>
      <c r="D1" s="10" t="s">
        <v>163</v>
      </c>
      <c r="E1" s="11" t="s">
        <v>164</v>
      </c>
      <c r="F1" s="11" t="s">
        <v>165</v>
      </c>
      <c r="G1" s="11" t="s">
        <v>166</v>
      </c>
      <c r="H1" s="11" t="s">
        <v>167</v>
      </c>
      <c r="I1" s="11" t="s">
        <v>168</v>
      </c>
      <c r="J1" s="9" t="s">
        <v>169</v>
      </c>
      <c r="K1" s="9" t="s">
        <v>170</v>
      </c>
      <c r="L1" s="9" t="s">
        <v>171</v>
      </c>
    </row>
    <row r="2" spans="1:12" x14ac:dyDescent="0.3">
      <c r="A2" s="12" t="s">
        <v>172</v>
      </c>
      <c r="B2" s="12" t="s">
        <v>173</v>
      </c>
      <c r="C2" s="12" t="s">
        <v>174</v>
      </c>
      <c r="D2" s="13" t="s">
        <v>175</v>
      </c>
      <c r="E2" s="14"/>
      <c r="F2" s="14"/>
      <c r="G2" s="15"/>
      <c r="H2" s="16"/>
      <c r="I2" s="15" t="e">
        <f>+SUMIFS([1]FORECAST!$E:$E,[1]FORECAST!$C:$C,A2)</f>
        <v>#VALUE!</v>
      </c>
      <c r="J2" s="16">
        <f t="shared" ref="J2:J65" si="0">+(H2-F2)</f>
        <v>0</v>
      </c>
      <c r="K2" s="17">
        <f t="shared" ref="K2:K65" si="1">IFERROR(J2/F2,0)</f>
        <v>0</v>
      </c>
      <c r="L2" s="16">
        <f t="shared" ref="L2:L65" si="2">+H2-E2</f>
        <v>0</v>
      </c>
    </row>
    <row r="3" spans="1:12" x14ac:dyDescent="0.3">
      <c r="A3" s="18" t="s">
        <v>176</v>
      </c>
      <c r="B3" s="12" t="s">
        <v>177</v>
      </c>
      <c r="C3" s="18"/>
      <c r="D3" s="19" t="s">
        <v>178</v>
      </c>
      <c r="E3" s="14"/>
      <c r="F3" s="14"/>
      <c r="G3" s="15"/>
      <c r="H3" s="14"/>
      <c r="I3" s="15" t="e">
        <f>+SUMIFS([1]FORECAST!$E:$E,[1]FORECAST!$C:$C,A3)</f>
        <v>#VALUE!</v>
      </c>
      <c r="J3" s="20">
        <f t="shared" si="0"/>
        <v>0</v>
      </c>
      <c r="K3" s="21">
        <f t="shared" si="1"/>
        <v>0</v>
      </c>
      <c r="L3" s="20">
        <f t="shared" si="2"/>
        <v>0</v>
      </c>
    </row>
    <row r="4" spans="1:12" x14ac:dyDescent="0.3">
      <c r="A4" s="18" t="s">
        <v>179</v>
      </c>
      <c r="B4" s="12" t="s">
        <v>180</v>
      </c>
      <c r="C4" s="18"/>
      <c r="D4" s="19" t="s">
        <v>181</v>
      </c>
      <c r="E4" s="14"/>
      <c r="F4" s="14"/>
      <c r="G4" s="15"/>
      <c r="H4" s="14"/>
      <c r="I4" s="15" t="e">
        <f>+SUMIFS([1]FORECAST!$E:$E,[1]FORECAST!$C:$C,A4)</f>
        <v>#VALUE!</v>
      </c>
      <c r="J4" s="20">
        <f t="shared" si="0"/>
        <v>0</v>
      </c>
      <c r="K4" s="21">
        <f t="shared" si="1"/>
        <v>0</v>
      </c>
      <c r="L4" s="20">
        <f t="shared" si="2"/>
        <v>0</v>
      </c>
    </row>
    <row r="5" spans="1:12" x14ac:dyDescent="0.3">
      <c r="A5" s="18" t="s">
        <v>182</v>
      </c>
      <c r="B5" s="12" t="s">
        <v>183</v>
      </c>
      <c r="C5" s="18"/>
      <c r="D5" s="19" t="s">
        <v>184</v>
      </c>
      <c r="E5" s="14"/>
      <c r="F5" s="14"/>
      <c r="G5" s="15"/>
      <c r="H5" s="14"/>
      <c r="I5" s="15" t="e">
        <f>+SUMIFS([1]FORECAST!$E:$E,[1]FORECAST!$C:$C,A5)</f>
        <v>#VALUE!</v>
      </c>
      <c r="J5" s="20">
        <f t="shared" si="0"/>
        <v>0</v>
      </c>
      <c r="K5" s="21">
        <f t="shared" si="1"/>
        <v>0</v>
      </c>
      <c r="L5" s="20">
        <f t="shared" si="2"/>
        <v>0</v>
      </c>
    </row>
    <row r="6" spans="1:12" x14ac:dyDescent="0.3">
      <c r="A6" s="18" t="s">
        <v>185</v>
      </c>
      <c r="B6" s="12" t="s">
        <v>186</v>
      </c>
      <c r="C6" s="18"/>
      <c r="D6" s="19" t="s">
        <v>187</v>
      </c>
      <c r="E6" s="14"/>
      <c r="F6" s="14"/>
      <c r="G6" s="15"/>
      <c r="H6" s="14"/>
      <c r="I6" s="15" t="e">
        <f>+SUMIFS([1]FORECAST!$E:$E,[1]FORECAST!$C:$C,A6)</f>
        <v>#VALUE!</v>
      </c>
      <c r="J6" s="20">
        <f t="shared" si="0"/>
        <v>0</v>
      </c>
      <c r="K6" s="21">
        <f t="shared" si="1"/>
        <v>0</v>
      </c>
      <c r="L6" s="20">
        <f t="shared" si="2"/>
        <v>0</v>
      </c>
    </row>
    <row r="7" spans="1:12" ht="15" thickBot="1" x14ac:dyDescent="0.35">
      <c r="A7" s="22" t="s">
        <v>188</v>
      </c>
      <c r="B7" s="12" t="s">
        <v>189</v>
      </c>
      <c r="C7" s="22" t="s">
        <v>174</v>
      </c>
      <c r="D7" s="22" t="s">
        <v>190</v>
      </c>
      <c r="E7" s="14"/>
      <c r="F7" s="14"/>
      <c r="G7" s="15"/>
      <c r="H7" s="15"/>
      <c r="I7" s="15" t="e">
        <f>+SUMIFS([1]FORECAST!$E:$E,[1]FORECAST!$C:$C,A7)</f>
        <v>#VALUE!</v>
      </c>
      <c r="J7" s="16">
        <f t="shared" si="0"/>
        <v>0</v>
      </c>
      <c r="K7" s="17">
        <f t="shared" si="1"/>
        <v>0</v>
      </c>
      <c r="L7" s="16">
        <f t="shared" si="2"/>
        <v>0</v>
      </c>
    </row>
    <row r="8" spans="1:12" ht="15" thickBot="1" x14ac:dyDescent="0.35">
      <c r="A8" s="23"/>
      <c r="B8" s="12" t="s">
        <v>191</v>
      </c>
      <c r="C8" s="23" t="s">
        <v>174</v>
      </c>
      <c r="D8" s="24" t="s">
        <v>192</v>
      </c>
      <c r="E8" s="24"/>
      <c r="F8" s="24"/>
      <c r="G8" s="24"/>
      <c r="H8" s="24"/>
      <c r="I8" s="24" t="e">
        <f>SUM(I2:I7)</f>
        <v>#VALUE!</v>
      </c>
      <c r="J8" s="25">
        <f t="shared" si="0"/>
        <v>0</v>
      </c>
      <c r="K8" s="26">
        <f t="shared" si="1"/>
        <v>0</v>
      </c>
      <c r="L8" s="25">
        <f t="shared" si="2"/>
        <v>0</v>
      </c>
    </row>
    <row r="9" spans="1:12" ht="64.8" x14ac:dyDescent="0.3">
      <c r="A9" s="27" t="s">
        <v>193</v>
      </c>
      <c r="B9" s="12" t="s">
        <v>194</v>
      </c>
      <c r="C9" s="27"/>
      <c r="D9" s="27" t="s">
        <v>195</v>
      </c>
      <c r="E9" s="14"/>
      <c r="F9" s="14"/>
      <c r="G9" s="15"/>
      <c r="H9" s="14"/>
      <c r="I9" s="15" t="e">
        <f>+SUMIFS([1]FORECAST!$E:$E,[1]FORECAST!$C:$C,A9)</f>
        <v>#VALUE!</v>
      </c>
      <c r="J9" s="20">
        <f t="shared" si="0"/>
        <v>0</v>
      </c>
      <c r="K9" s="21">
        <f t="shared" si="1"/>
        <v>0</v>
      </c>
      <c r="L9" s="20">
        <f t="shared" si="2"/>
        <v>0</v>
      </c>
    </row>
    <row r="10" spans="1:12" ht="21.6" x14ac:dyDescent="0.3">
      <c r="A10" s="27" t="s">
        <v>196</v>
      </c>
      <c r="B10" s="12" t="s">
        <v>197</v>
      </c>
      <c r="C10" s="27" t="s">
        <v>165</v>
      </c>
      <c r="D10" s="27" t="s">
        <v>198</v>
      </c>
      <c r="E10" s="14"/>
      <c r="F10" s="14"/>
      <c r="G10" s="15"/>
      <c r="H10" s="14"/>
      <c r="I10" s="15" t="e">
        <f>+SUMIFS([1]FORECAST!$E:$E,[1]FORECAST!$C:$C,A10)</f>
        <v>#VALUE!</v>
      </c>
      <c r="J10" s="20">
        <f t="shared" si="0"/>
        <v>0</v>
      </c>
      <c r="K10" s="21">
        <f t="shared" si="1"/>
        <v>0</v>
      </c>
      <c r="L10" s="20">
        <f t="shared" si="2"/>
        <v>0</v>
      </c>
    </row>
    <row r="11" spans="1:12" ht="32.4" x14ac:dyDescent="0.3">
      <c r="A11" s="27" t="s">
        <v>199</v>
      </c>
      <c r="B11" s="12" t="s">
        <v>200</v>
      </c>
      <c r="C11" s="27"/>
      <c r="D11" s="27" t="s">
        <v>201</v>
      </c>
      <c r="E11" s="14"/>
      <c r="F11" s="14"/>
      <c r="G11" s="15"/>
      <c r="H11" s="14"/>
      <c r="I11" s="15" t="e">
        <f>+SUMIFS([1]FORECAST!$E:$E,[1]FORECAST!$C:$C,A11)</f>
        <v>#VALUE!</v>
      </c>
      <c r="J11" s="20">
        <f t="shared" si="0"/>
        <v>0</v>
      </c>
      <c r="K11" s="21">
        <f t="shared" si="1"/>
        <v>0</v>
      </c>
      <c r="L11" s="20">
        <f t="shared" si="2"/>
        <v>0</v>
      </c>
    </row>
    <row r="12" spans="1:12" ht="32.4" x14ac:dyDescent="0.3">
      <c r="A12" s="27" t="s">
        <v>202</v>
      </c>
      <c r="B12" s="12" t="s">
        <v>203</v>
      </c>
      <c r="C12" s="27"/>
      <c r="D12" s="27" t="s">
        <v>204</v>
      </c>
      <c r="E12" s="14"/>
      <c r="F12" s="14"/>
      <c r="G12" s="15"/>
      <c r="H12" s="14"/>
      <c r="I12" s="15" t="e">
        <f>+SUMIFS([1]FORECAST!$E:$E,[1]FORECAST!$C:$C,A12)</f>
        <v>#VALUE!</v>
      </c>
      <c r="J12" s="20">
        <f t="shared" si="0"/>
        <v>0</v>
      </c>
      <c r="K12" s="21">
        <f t="shared" si="1"/>
        <v>0</v>
      </c>
      <c r="L12" s="20">
        <f t="shared" si="2"/>
        <v>0</v>
      </c>
    </row>
    <row r="13" spans="1:12" ht="21.6" x14ac:dyDescent="0.3">
      <c r="A13" s="27" t="s">
        <v>205</v>
      </c>
      <c r="B13" s="12" t="s">
        <v>206</v>
      </c>
      <c r="C13" s="27"/>
      <c r="D13" s="27" t="s">
        <v>207</v>
      </c>
      <c r="E13" s="14"/>
      <c r="F13" s="14"/>
      <c r="G13" s="15"/>
      <c r="H13" s="14"/>
      <c r="I13" s="15" t="e">
        <f>+SUMIFS([1]FORECAST!$E:$E,[1]FORECAST!$C:$C,A13)</f>
        <v>#VALUE!</v>
      </c>
      <c r="J13" s="20">
        <f t="shared" si="0"/>
        <v>0</v>
      </c>
      <c r="K13" s="21">
        <f t="shared" si="1"/>
        <v>0</v>
      </c>
      <c r="L13" s="20">
        <f t="shared" si="2"/>
        <v>0</v>
      </c>
    </row>
    <row r="14" spans="1:12" ht="21.6" x14ac:dyDescent="0.3">
      <c r="A14" s="27" t="s">
        <v>208</v>
      </c>
      <c r="B14" s="12" t="s">
        <v>209</v>
      </c>
      <c r="C14" s="27"/>
      <c r="D14" s="27" t="s">
        <v>210</v>
      </c>
      <c r="E14" s="14"/>
      <c r="F14" s="14"/>
      <c r="G14" s="15"/>
      <c r="H14" s="14"/>
      <c r="I14" s="15" t="e">
        <f>+SUMIFS([1]FORECAST!$E:$E,[1]FORECAST!$C:$C,A14)</f>
        <v>#VALUE!</v>
      </c>
      <c r="J14" s="20">
        <f t="shared" si="0"/>
        <v>0</v>
      </c>
      <c r="K14" s="21">
        <f t="shared" si="1"/>
        <v>0</v>
      </c>
      <c r="L14" s="20">
        <f t="shared" si="2"/>
        <v>0</v>
      </c>
    </row>
    <row r="15" spans="1:12" ht="21.6" x14ac:dyDescent="0.3">
      <c r="A15" s="27" t="s">
        <v>211</v>
      </c>
      <c r="B15" s="12" t="s">
        <v>212</v>
      </c>
      <c r="C15" s="27" t="s">
        <v>165</v>
      </c>
      <c r="D15" s="27" t="s">
        <v>213</v>
      </c>
      <c r="E15" s="14"/>
      <c r="F15" s="14"/>
      <c r="G15" s="15"/>
      <c r="H15" s="14"/>
      <c r="I15" s="15" t="e">
        <f>+SUMIFS([1]FORECAST!$E:$E,[1]FORECAST!$C:$C,A15)</f>
        <v>#VALUE!</v>
      </c>
      <c r="J15" s="20">
        <f t="shared" si="0"/>
        <v>0</v>
      </c>
      <c r="K15" s="21">
        <f t="shared" si="1"/>
        <v>0</v>
      </c>
      <c r="L15" s="20">
        <f t="shared" si="2"/>
        <v>0</v>
      </c>
    </row>
    <row r="16" spans="1:12" ht="32.4" x14ac:dyDescent="0.3">
      <c r="A16" s="27" t="s">
        <v>214</v>
      </c>
      <c r="B16" s="12" t="s">
        <v>215</v>
      </c>
      <c r="C16" s="27" t="s">
        <v>165</v>
      </c>
      <c r="D16" s="27" t="s">
        <v>216</v>
      </c>
      <c r="E16" s="28"/>
      <c r="F16" s="14"/>
      <c r="G16" s="15"/>
      <c r="H16" s="14"/>
      <c r="I16" s="15" t="e">
        <f>+SUMIFS([1]FORECAST!$E:$E,[1]FORECAST!$C:$C,A16)</f>
        <v>#VALUE!</v>
      </c>
      <c r="J16" s="20">
        <f t="shared" si="0"/>
        <v>0</v>
      </c>
      <c r="K16" s="21">
        <f t="shared" si="1"/>
        <v>0</v>
      </c>
      <c r="L16" s="20">
        <f t="shared" si="2"/>
        <v>0</v>
      </c>
    </row>
    <row r="17" spans="1:12" ht="32.4" x14ac:dyDescent="0.3">
      <c r="A17" s="27" t="s">
        <v>217</v>
      </c>
      <c r="B17" s="12" t="s">
        <v>218</v>
      </c>
      <c r="C17" s="27"/>
      <c r="D17" s="27" t="s">
        <v>219</v>
      </c>
      <c r="E17" s="14"/>
      <c r="F17" s="14"/>
      <c r="G17" s="15"/>
      <c r="H17" s="14"/>
      <c r="I17" s="15" t="e">
        <f>+SUMIFS([1]FORECAST!$E:$E,[1]FORECAST!$C:$C,A17)</f>
        <v>#VALUE!</v>
      </c>
      <c r="J17" s="20">
        <f t="shared" si="0"/>
        <v>0</v>
      </c>
      <c r="K17" s="21">
        <f t="shared" si="1"/>
        <v>0</v>
      </c>
      <c r="L17" s="20">
        <f t="shared" si="2"/>
        <v>0</v>
      </c>
    </row>
    <row r="18" spans="1:12" ht="54" x14ac:dyDescent="0.3">
      <c r="A18" s="27" t="s">
        <v>220</v>
      </c>
      <c r="B18" s="12" t="s">
        <v>221</v>
      </c>
      <c r="C18" s="27"/>
      <c r="D18" s="27" t="s">
        <v>222</v>
      </c>
      <c r="E18" s="14"/>
      <c r="F18" s="14"/>
      <c r="G18" s="15"/>
      <c r="H18" s="14"/>
      <c r="I18" s="15" t="e">
        <f>+SUMIFS([1]FORECAST!$E:$E,[1]FORECAST!$C:$C,A18)</f>
        <v>#VALUE!</v>
      </c>
      <c r="J18" s="20">
        <f t="shared" si="0"/>
        <v>0</v>
      </c>
      <c r="K18" s="21">
        <f t="shared" si="1"/>
        <v>0</v>
      </c>
      <c r="L18" s="20">
        <f t="shared" si="2"/>
        <v>0</v>
      </c>
    </row>
    <row r="19" spans="1:12" ht="54" x14ac:dyDescent="0.3">
      <c r="A19" s="27" t="s">
        <v>223</v>
      </c>
      <c r="B19" s="12" t="s">
        <v>224</v>
      </c>
      <c r="C19" s="27"/>
      <c r="D19" s="27" t="s">
        <v>225</v>
      </c>
      <c r="E19" s="14"/>
      <c r="F19" s="14"/>
      <c r="G19" s="15"/>
      <c r="H19" s="14"/>
      <c r="I19" s="15" t="e">
        <f>+SUMIFS([1]FORECAST!$E:$E,[1]FORECAST!$C:$C,A19)</f>
        <v>#VALUE!</v>
      </c>
      <c r="J19" s="20">
        <f t="shared" si="0"/>
        <v>0</v>
      </c>
      <c r="K19" s="21">
        <f t="shared" si="1"/>
        <v>0</v>
      </c>
      <c r="L19" s="20">
        <f t="shared" si="2"/>
        <v>0</v>
      </c>
    </row>
    <row r="20" spans="1:12" x14ac:dyDescent="0.3">
      <c r="A20" s="18" t="s">
        <v>226</v>
      </c>
      <c r="B20" s="12" t="s">
        <v>227</v>
      </c>
      <c r="C20" s="18"/>
      <c r="D20" s="19" t="s">
        <v>228</v>
      </c>
      <c r="E20" s="14"/>
      <c r="F20" s="14"/>
      <c r="G20" s="15"/>
      <c r="H20" s="14"/>
      <c r="I20" s="15" t="e">
        <f>+SUMIFS([1]FORECAST!$E:$E,[1]FORECAST!$C:$C,A20)</f>
        <v>#VALUE!</v>
      </c>
      <c r="J20" s="20">
        <f t="shared" si="0"/>
        <v>0</v>
      </c>
      <c r="K20" s="21">
        <f t="shared" si="1"/>
        <v>0</v>
      </c>
      <c r="L20" s="20">
        <f t="shared" si="2"/>
        <v>0</v>
      </c>
    </row>
    <row r="21" spans="1:12" x14ac:dyDescent="0.3">
      <c r="A21" s="18" t="s">
        <v>229</v>
      </c>
      <c r="B21" s="12" t="s">
        <v>230</v>
      </c>
      <c r="C21" s="18"/>
      <c r="D21" s="19" t="s">
        <v>231</v>
      </c>
      <c r="E21" s="14"/>
      <c r="F21" s="14"/>
      <c r="G21" s="15"/>
      <c r="H21" s="14"/>
      <c r="I21" s="15" t="e">
        <f>+SUMIFS([1]FORECAST!$E:$E,[1]FORECAST!$C:$C,A21)</f>
        <v>#VALUE!</v>
      </c>
      <c r="J21" s="20">
        <f t="shared" si="0"/>
        <v>0</v>
      </c>
      <c r="K21" s="21">
        <f t="shared" si="1"/>
        <v>0</v>
      </c>
      <c r="L21" s="20">
        <f t="shared" si="2"/>
        <v>0</v>
      </c>
    </row>
    <row r="22" spans="1:12" x14ac:dyDescent="0.3">
      <c r="A22" s="18" t="s">
        <v>232</v>
      </c>
      <c r="B22" s="12" t="s">
        <v>233</v>
      </c>
      <c r="C22" s="18"/>
      <c r="D22" s="19" t="s">
        <v>234</v>
      </c>
      <c r="E22" s="14"/>
      <c r="F22" s="14"/>
      <c r="G22" s="15"/>
      <c r="H22" s="14"/>
      <c r="I22" s="15" t="e">
        <f>+SUMIFS([1]FORECAST!$E:$E,[1]FORECAST!$C:$C,A22)</f>
        <v>#VALUE!</v>
      </c>
      <c r="J22" s="20">
        <f t="shared" si="0"/>
        <v>0</v>
      </c>
      <c r="K22" s="21">
        <f t="shared" si="1"/>
        <v>0</v>
      </c>
      <c r="L22" s="20">
        <f t="shared" si="2"/>
        <v>0</v>
      </c>
    </row>
    <row r="23" spans="1:12" x14ac:dyDescent="0.3">
      <c r="A23" s="18" t="s">
        <v>235</v>
      </c>
      <c r="B23" s="12" t="s">
        <v>236</v>
      </c>
      <c r="C23" s="18"/>
      <c r="D23" s="19" t="s">
        <v>237</v>
      </c>
      <c r="E23" s="14"/>
      <c r="F23" s="14"/>
      <c r="G23" s="15"/>
      <c r="H23" s="14"/>
      <c r="I23" s="15" t="e">
        <f>+SUMIFS([1]FORECAST!$E:$E,[1]FORECAST!$C:$C,A23)</f>
        <v>#VALUE!</v>
      </c>
      <c r="J23" s="20">
        <f t="shared" si="0"/>
        <v>0</v>
      </c>
      <c r="K23" s="21">
        <f t="shared" si="1"/>
        <v>0</v>
      </c>
      <c r="L23" s="20">
        <f t="shared" si="2"/>
        <v>0</v>
      </c>
    </row>
    <row r="24" spans="1:12" x14ac:dyDescent="0.3">
      <c r="A24" s="18" t="s">
        <v>238</v>
      </c>
      <c r="B24" s="12" t="s">
        <v>239</v>
      </c>
      <c r="C24" s="18"/>
      <c r="D24" s="19" t="s">
        <v>240</v>
      </c>
      <c r="E24" s="14"/>
      <c r="F24" s="14"/>
      <c r="G24" s="15"/>
      <c r="H24" s="14"/>
      <c r="I24" s="15" t="e">
        <f>+SUMIFS([1]FORECAST!$E:$E,[1]FORECAST!$C:$C,A24)</f>
        <v>#VALUE!</v>
      </c>
      <c r="J24" s="20">
        <f t="shared" si="0"/>
        <v>0</v>
      </c>
      <c r="K24" s="21">
        <f t="shared" si="1"/>
        <v>0</v>
      </c>
      <c r="L24" s="20">
        <f t="shared" si="2"/>
        <v>0</v>
      </c>
    </row>
    <row r="25" spans="1:12" x14ac:dyDescent="0.3">
      <c r="A25" s="18" t="s">
        <v>241</v>
      </c>
      <c r="B25" s="12" t="s">
        <v>242</v>
      </c>
      <c r="C25" s="18"/>
      <c r="D25" s="19" t="s">
        <v>243</v>
      </c>
      <c r="E25" s="14"/>
      <c r="F25" s="14"/>
      <c r="G25" s="15"/>
      <c r="H25" s="14"/>
      <c r="I25" s="15" t="e">
        <f>+SUMIFS([1]FORECAST!$E:$E,[1]FORECAST!$C:$C,A25)</f>
        <v>#VALUE!</v>
      </c>
      <c r="J25" s="20">
        <f t="shared" si="0"/>
        <v>0</v>
      </c>
      <c r="K25" s="21">
        <f t="shared" si="1"/>
        <v>0</v>
      </c>
      <c r="L25" s="20">
        <f t="shared" si="2"/>
        <v>0</v>
      </c>
    </row>
    <row r="26" spans="1:12" x14ac:dyDescent="0.3">
      <c r="A26" s="18" t="s">
        <v>244</v>
      </c>
      <c r="B26" s="12" t="s">
        <v>245</v>
      </c>
      <c r="C26" s="18"/>
      <c r="D26" s="19" t="s">
        <v>246</v>
      </c>
      <c r="E26" s="14"/>
      <c r="F26" s="14"/>
      <c r="G26" s="15"/>
      <c r="H26" s="14"/>
      <c r="I26" s="15" t="e">
        <f>+SUMIFS([1]FORECAST!$E:$E,[1]FORECAST!$C:$C,A26)</f>
        <v>#VALUE!</v>
      </c>
      <c r="J26" s="20">
        <f t="shared" si="0"/>
        <v>0</v>
      </c>
      <c r="K26" s="21">
        <f t="shared" si="1"/>
        <v>0</v>
      </c>
      <c r="L26" s="20">
        <f t="shared" si="2"/>
        <v>0</v>
      </c>
    </row>
    <row r="27" spans="1:12" x14ac:dyDescent="0.3">
      <c r="A27" s="18" t="s">
        <v>247</v>
      </c>
      <c r="B27" s="12" t="s">
        <v>248</v>
      </c>
      <c r="C27" s="18"/>
      <c r="D27" s="19" t="s">
        <v>249</v>
      </c>
      <c r="E27" s="14"/>
      <c r="F27" s="14"/>
      <c r="G27" s="15"/>
      <c r="H27" s="14"/>
      <c r="I27" s="15" t="e">
        <f>+SUMIFS([1]FORECAST!$E:$E,[1]FORECAST!$C:$C,A27)</f>
        <v>#VALUE!</v>
      </c>
      <c r="J27" s="20">
        <f t="shared" si="0"/>
        <v>0</v>
      </c>
      <c r="K27" s="21">
        <f t="shared" si="1"/>
        <v>0</v>
      </c>
      <c r="L27" s="20">
        <f t="shared" si="2"/>
        <v>0</v>
      </c>
    </row>
    <row r="28" spans="1:12" ht="15" thickBot="1" x14ac:dyDescent="0.35">
      <c r="A28" s="18" t="s">
        <v>250</v>
      </c>
      <c r="B28" s="12" t="s">
        <v>251</v>
      </c>
      <c r="C28" s="18"/>
      <c r="D28" s="19" t="s">
        <v>252</v>
      </c>
      <c r="E28" s="14"/>
      <c r="F28" s="14"/>
      <c r="G28" s="15"/>
      <c r="H28" s="14"/>
      <c r="I28" s="15" t="e">
        <f>+SUMIFS([1]FORECAST!$E:$E,[1]FORECAST!$C:$C,A28)</f>
        <v>#VALUE!</v>
      </c>
      <c r="J28" s="20">
        <f t="shared" si="0"/>
        <v>0</v>
      </c>
      <c r="K28" s="21">
        <f t="shared" si="1"/>
        <v>0</v>
      </c>
      <c r="L28" s="20">
        <f t="shared" si="2"/>
        <v>0</v>
      </c>
    </row>
    <row r="29" spans="1:12" ht="15" thickBot="1" x14ac:dyDescent="0.35">
      <c r="A29" s="29"/>
      <c r="B29" s="12" t="s">
        <v>253</v>
      </c>
      <c r="C29" s="29" t="s">
        <v>254</v>
      </c>
      <c r="D29" s="29" t="s">
        <v>255</v>
      </c>
      <c r="E29" s="30"/>
      <c r="F29" s="30"/>
      <c r="G29" s="30"/>
      <c r="H29" s="30"/>
      <c r="I29" s="30" t="e">
        <f>SUM(I9:I28)</f>
        <v>#VALUE!</v>
      </c>
      <c r="J29" s="31">
        <f t="shared" si="0"/>
        <v>0</v>
      </c>
      <c r="K29" s="32">
        <f t="shared" si="1"/>
        <v>0</v>
      </c>
      <c r="L29" s="31">
        <f t="shared" si="2"/>
        <v>0</v>
      </c>
    </row>
    <row r="30" spans="1:12" ht="54" x14ac:dyDescent="0.3">
      <c r="A30" s="27" t="s">
        <v>256</v>
      </c>
      <c r="B30" s="12" t="s">
        <v>257</v>
      </c>
      <c r="C30" s="27"/>
      <c r="D30" s="27" t="s">
        <v>258</v>
      </c>
      <c r="E30" s="14"/>
      <c r="F30" s="14"/>
      <c r="G30" s="15"/>
      <c r="H30" s="14"/>
      <c r="I30" s="15" t="e">
        <f>+SUMIFS([1]FORECAST!$E:$E,[1]FORECAST!$C:$C,A30)</f>
        <v>#VALUE!</v>
      </c>
      <c r="J30" s="20">
        <f t="shared" si="0"/>
        <v>0</v>
      </c>
      <c r="K30" s="21">
        <f t="shared" si="1"/>
        <v>0</v>
      </c>
      <c r="L30" s="20">
        <f t="shared" si="2"/>
        <v>0</v>
      </c>
    </row>
    <row r="31" spans="1:12" ht="21.6" x14ac:dyDescent="0.3">
      <c r="A31" s="27" t="s">
        <v>259</v>
      </c>
      <c r="B31" s="12" t="s">
        <v>260</v>
      </c>
      <c r="C31" s="27"/>
      <c r="D31" s="27" t="s">
        <v>261</v>
      </c>
      <c r="E31" s="14"/>
      <c r="F31" s="14"/>
      <c r="G31" s="15"/>
      <c r="H31" s="14"/>
      <c r="I31" s="15" t="e">
        <f>+SUMIFS([1]FORECAST!$E:$E,[1]FORECAST!$C:$C,A31)</f>
        <v>#VALUE!</v>
      </c>
      <c r="J31" s="20">
        <f t="shared" si="0"/>
        <v>0</v>
      </c>
      <c r="K31" s="21">
        <f t="shared" si="1"/>
        <v>0</v>
      </c>
      <c r="L31" s="20">
        <f t="shared" si="2"/>
        <v>0</v>
      </c>
    </row>
    <row r="32" spans="1:12" ht="32.4" x14ac:dyDescent="0.3">
      <c r="A32" s="27" t="s">
        <v>262</v>
      </c>
      <c r="B32" s="12" t="s">
        <v>263</v>
      </c>
      <c r="C32" s="27" t="s">
        <v>165</v>
      </c>
      <c r="D32" s="27" t="s">
        <v>264</v>
      </c>
      <c r="E32" s="14"/>
      <c r="F32" s="14"/>
      <c r="G32" s="15"/>
      <c r="H32" s="14"/>
      <c r="I32" s="15" t="e">
        <f>+SUMIFS([1]FORECAST!$E:$E,[1]FORECAST!$C:$C,A32)</f>
        <v>#VALUE!</v>
      </c>
      <c r="J32" s="20">
        <f t="shared" si="0"/>
        <v>0</v>
      </c>
      <c r="K32" s="21">
        <f t="shared" si="1"/>
        <v>0</v>
      </c>
      <c r="L32" s="20">
        <f t="shared" si="2"/>
        <v>0</v>
      </c>
    </row>
    <row r="33" spans="1:12" ht="32.4" x14ac:dyDescent="0.3">
      <c r="A33" s="27" t="s">
        <v>265</v>
      </c>
      <c r="B33" s="12" t="s">
        <v>266</v>
      </c>
      <c r="C33" s="27"/>
      <c r="D33" s="27" t="s">
        <v>267</v>
      </c>
      <c r="E33" s="14"/>
      <c r="F33" s="14"/>
      <c r="G33" s="15"/>
      <c r="H33" s="14"/>
      <c r="I33" s="15" t="e">
        <f>+SUMIFS([1]FORECAST!$E:$E,[1]FORECAST!$C:$C,A33)</f>
        <v>#VALUE!</v>
      </c>
      <c r="J33" s="20">
        <f t="shared" si="0"/>
        <v>0</v>
      </c>
      <c r="K33" s="21">
        <f t="shared" si="1"/>
        <v>0</v>
      </c>
      <c r="L33" s="20">
        <f t="shared" si="2"/>
        <v>0</v>
      </c>
    </row>
    <row r="34" spans="1:12" x14ac:dyDescent="0.3">
      <c r="A34" s="27" t="s">
        <v>268</v>
      </c>
      <c r="B34" s="12" t="s">
        <v>269</v>
      </c>
      <c r="C34" s="27" t="s">
        <v>165</v>
      </c>
      <c r="D34" s="27" t="s">
        <v>270</v>
      </c>
      <c r="E34" s="14"/>
      <c r="F34" s="14"/>
      <c r="G34" s="15"/>
      <c r="H34" s="14"/>
      <c r="I34" s="15" t="e">
        <f>+SUMIFS([1]FORECAST!$E:$E,[1]FORECAST!$C:$C,A34)</f>
        <v>#VALUE!</v>
      </c>
      <c r="J34" s="20">
        <f t="shared" si="0"/>
        <v>0</v>
      </c>
      <c r="K34" s="21">
        <f t="shared" si="1"/>
        <v>0</v>
      </c>
      <c r="L34" s="20">
        <f t="shared" si="2"/>
        <v>0</v>
      </c>
    </row>
    <row r="35" spans="1:12" ht="21.6" x14ac:dyDescent="0.3">
      <c r="A35" s="27" t="s">
        <v>271</v>
      </c>
      <c r="B35" s="12" t="s">
        <v>272</v>
      </c>
      <c r="C35" s="27"/>
      <c r="D35" s="27" t="s">
        <v>273</v>
      </c>
      <c r="E35" s="14"/>
      <c r="F35" s="14"/>
      <c r="G35" s="15"/>
      <c r="H35" s="14"/>
      <c r="I35" s="15" t="e">
        <f>+SUMIFS([1]FORECAST!$E:$E,[1]FORECAST!$C:$C,A35)</f>
        <v>#VALUE!</v>
      </c>
      <c r="J35" s="20">
        <f t="shared" si="0"/>
        <v>0</v>
      </c>
      <c r="K35" s="21">
        <f t="shared" si="1"/>
        <v>0</v>
      </c>
      <c r="L35" s="20">
        <f t="shared" si="2"/>
        <v>0</v>
      </c>
    </row>
    <row r="36" spans="1:12" ht="21.6" x14ac:dyDescent="0.3">
      <c r="A36" s="27" t="s">
        <v>274</v>
      </c>
      <c r="B36" s="12" t="s">
        <v>275</v>
      </c>
      <c r="C36" s="27"/>
      <c r="D36" s="27" t="s">
        <v>276</v>
      </c>
      <c r="E36" s="14"/>
      <c r="F36" s="14"/>
      <c r="G36" s="15"/>
      <c r="H36" s="14"/>
      <c r="I36" s="15" t="e">
        <f>+SUMIFS([1]FORECAST!$E:$E,[1]FORECAST!$C:$C,A36)</f>
        <v>#VALUE!</v>
      </c>
      <c r="J36" s="20">
        <f t="shared" si="0"/>
        <v>0</v>
      </c>
      <c r="K36" s="21">
        <f t="shared" si="1"/>
        <v>0</v>
      </c>
      <c r="L36" s="20">
        <f t="shared" si="2"/>
        <v>0</v>
      </c>
    </row>
    <row r="37" spans="1:12" ht="32.4" x14ac:dyDescent="0.3">
      <c r="A37" s="27" t="s">
        <v>277</v>
      </c>
      <c r="B37" s="12" t="s">
        <v>278</v>
      </c>
      <c r="C37" s="27" t="s">
        <v>165</v>
      </c>
      <c r="D37" s="27" t="s">
        <v>279</v>
      </c>
      <c r="E37" s="28"/>
      <c r="F37" s="14"/>
      <c r="G37" s="15"/>
      <c r="H37" s="14"/>
      <c r="I37" s="15" t="e">
        <f>+SUMIFS([1]FORECAST!$E:$E,[1]FORECAST!$C:$C,A37)</f>
        <v>#VALUE!</v>
      </c>
      <c r="J37" s="20">
        <f t="shared" si="0"/>
        <v>0</v>
      </c>
      <c r="K37" s="21">
        <f t="shared" si="1"/>
        <v>0</v>
      </c>
      <c r="L37" s="20">
        <f t="shared" si="2"/>
        <v>0</v>
      </c>
    </row>
    <row r="38" spans="1:12" ht="32.4" x14ac:dyDescent="0.3">
      <c r="A38" s="27" t="s">
        <v>280</v>
      </c>
      <c r="B38" s="12" t="s">
        <v>281</v>
      </c>
      <c r="C38" s="27" t="s">
        <v>165</v>
      </c>
      <c r="D38" s="27" t="s">
        <v>282</v>
      </c>
      <c r="E38" s="14"/>
      <c r="F38" s="14"/>
      <c r="G38" s="15"/>
      <c r="H38" s="14"/>
      <c r="I38" s="15" t="e">
        <f>+SUMIFS([1]FORECAST!$E:$E,[1]FORECAST!$C:$C,A38)</f>
        <v>#VALUE!</v>
      </c>
      <c r="J38" s="20">
        <f t="shared" si="0"/>
        <v>0</v>
      </c>
      <c r="K38" s="21">
        <f t="shared" si="1"/>
        <v>0</v>
      </c>
      <c r="L38" s="20">
        <f t="shared" si="2"/>
        <v>0</v>
      </c>
    </row>
    <row r="39" spans="1:12" ht="54" x14ac:dyDescent="0.3">
      <c r="A39" s="27" t="s">
        <v>283</v>
      </c>
      <c r="B39" s="12" t="s">
        <v>284</v>
      </c>
      <c r="C39" s="27"/>
      <c r="D39" s="27" t="s">
        <v>285</v>
      </c>
      <c r="E39" s="14"/>
      <c r="F39" s="14"/>
      <c r="G39" s="15"/>
      <c r="H39" s="14"/>
      <c r="I39" s="15" t="e">
        <f>+SUMIFS([1]FORECAST!$E:$E,[1]FORECAST!$C:$C,A39)</f>
        <v>#VALUE!</v>
      </c>
      <c r="J39" s="20">
        <f t="shared" si="0"/>
        <v>0</v>
      </c>
      <c r="K39" s="21">
        <f t="shared" si="1"/>
        <v>0</v>
      </c>
      <c r="L39" s="20">
        <f t="shared" si="2"/>
        <v>0</v>
      </c>
    </row>
    <row r="40" spans="1:12" ht="54" x14ac:dyDescent="0.3">
      <c r="A40" s="27" t="s">
        <v>286</v>
      </c>
      <c r="B40" s="12" t="s">
        <v>287</v>
      </c>
      <c r="C40" s="27"/>
      <c r="D40" s="27" t="s">
        <v>288</v>
      </c>
      <c r="E40" s="14"/>
      <c r="F40" s="14"/>
      <c r="G40" s="15"/>
      <c r="H40" s="14"/>
      <c r="I40" s="15" t="e">
        <f>+SUMIFS([1]FORECAST!$E:$E,[1]FORECAST!$C:$C,A40)</f>
        <v>#VALUE!</v>
      </c>
      <c r="J40" s="20">
        <f t="shared" si="0"/>
        <v>0</v>
      </c>
      <c r="K40" s="21">
        <f t="shared" si="1"/>
        <v>0</v>
      </c>
      <c r="L40" s="20">
        <f t="shared" si="2"/>
        <v>0</v>
      </c>
    </row>
    <row r="41" spans="1:12" x14ac:dyDescent="0.3">
      <c r="A41" s="18" t="s">
        <v>289</v>
      </c>
      <c r="B41" s="12" t="s">
        <v>290</v>
      </c>
      <c r="C41" s="18"/>
      <c r="D41" s="19" t="s">
        <v>291</v>
      </c>
      <c r="E41" s="14"/>
      <c r="F41" s="14"/>
      <c r="G41" s="15"/>
      <c r="H41" s="14"/>
      <c r="I41" s="15" t="e">
        <f>+SUMIFS([1]FORECAST!$E:$E,[1]FORECAST!$C:$C,A41)</f>
        <v>#VALUE!</v>
      </c>
      <c r="J41" s="20">
        <f t="shared" si="0"/>
        <v>0</v>
      </c>
      <c r="K41" s="21">
        <f t="shared" si="1"/>
        <v>0</v>
      </c>
      <c r="L41" s="20">
        <f t="shared" si="2"/>
        <v>0</v>
      </c>
    </row>
    <row r="42" spans="1:12" x14ac:dyDescent="0.3">
      <c r="A42" s="18" t="s">
        <v>292</v>
      </c>
      <c r="B42" s="12" t="s">
        <v>293</v>
      </c>
      <c r="C42" s="18"/>
      <c r="D42" s="19" t="s">
        <v>294</v>
      </c>
      <c r="E42" s="14"/>
      <c r="F42" s="14"/>
      <c r="G42" s="15"/>
      <c r="H42" s="14"/>
      <c r="I42" s="15" t="e">
        <f>+SUMIFS([1]FORECAST!$E:$E,[1]FORECAST!$C:$C,A42)</f>
        <v>#VALUE!</v>
      </c>
      <c r="J42" s="20">
        <f t="shared" si="0"/>
        <v>0</v>
      </c>
      <c r="K42" s="21">
        <f t="shared" si="1"/>
        <v>0</v>
      </c>
      <c r="L42" s="20">
        <f t="shared" si="2"/>
        <v>0</v>
      </c>
    </row>
    <row r="43" spans="1:12" x14ac:dyDescent="0.3">
      <c r="A43" s="18" t="s">
        <v>295</v>
      </c>
      <c r="B43" s="12" t="s">
        <v>296</v>
      </c>
      <c r="C43" s="18"/>
      <c r="D43" s="19" t="s">
        <v>297</v>
      </c>
      <c r="E43" s="14"/>
      <c r="F43" s="14"/>
      <c r="G43" s="15"/>
      <c r="H43" s="14"/>
      <c r="I43" s="15" t="e">
        <f>+SUMIFS([1]FORECAST!$E:$E,[1]FORECAST!$C:$C,A43)</f>
        <v>#VALUE!</v>
      </c>
      <c r="J43" s="20">
        <f t="shared" si="0"/>
        <v>0</v>
      </c>
      <c r="K43" s="21">
        <f t="shared" si="1"/>
        <v>0</v>
      </c>
      <c r="L43" s="20">
        <f t="shared" si="2"/>
        <v>0</v>
      </c>
    </row>
    <row r="44" spans="1:12" x14ac:dyDescent="0.3">
      <c r="A44" s="18" t="s">
        <v>298</v>
      </c>
      <c r="B44" s="12" t="s">
        <v>299</v>
      </c>
      <c r="C44" s="18"/>
      <c r="D44" s="19" t="s">
        <v>300</v>
      </c>
      <c r="E44" s="14"/>
      <c r="F44" s="14"/>
      <c r="G44" s="15"/>
      <c r="H44" s="14"/>
      <c r="I44" s="15" t="e">
        <f>+SUMIFS([1]FORECAST!$E:$E,[1]FORECAST!$C:$C,A44)</f>
        <v>#VALUE!</v>
      </c>
      <c r="J44" s="20">
        <f t="shared" si="0"/>
        <v>0</v>
      </c>
      <c r="K44" s="21">
        <f t="shared" si="1"/>
        <v>0</v>
      </c>
      <c r="L44" s="20">
        <f t="shared" si="2"/>
        <v>0</v>
      </c>
    </row>
    <row r="45" spans="1:12" x14ac:dyDescent="0.3">
      <c r="A45" s="18" t="s">
        <v>301</v>
      </c>
      <c r="B45" s="12" t="s">
        <v>302</v>
      </c>
      <c r="C45" s="18"/>
      <c r="D45" s="19" t="s">
        <v>303</v>
      </c>
      <c r="E45" s="14"/>
      <c r="F45" s="14"/>
      <c r="G45" s="15"/>
      <c r="H45" s="14"/>
      <c r="I45" s="15" t="e">
        <f>+SUMIFS([1]FORECAST!$E:$E,[1]FORECAST!$C:$C,A45)</f>
        <v>#VALUE!</v>
      </c>
      <c r="J45" s="20">
        <f t="shared" si="0"/>
        <v>0</v>
      </c>
      <c r="K45" s="21">
        <f t="shared" si="1"/>
        <v>0</v>
      </c>
      <c r="L45" s="20">
        <f t="shared" si="2"/>
        <v>0</v>
      </c>
    </row>
    <row r="46" spans="1:12" x14ac:dyDescent="0.3">
      <c r="A46" s="18" t="s">
        <v>304</v>
      </c>
      <c r="B46" s="12" t="s">
        <v>305</v>
      </c>
      <c r="C46" s="18"/>
      <c r="D46" s="19" t="s">
        <v>306</v>
      </c>
      <c r="E46" s="14"/>
      <c r="F46" s="14"/>
      <c r="G46" s="15"/>
      <c r="H46" s="14"/>
      <c r="I46" s="15" t="e">
        <f>+SUMIFS([1]FORECAST!$E:$E,[1]FORECAST!$C:$C,A46)</f>
        <v>#VALUE!</v>
      </c>
      <c r="J46" s="20">
        <f t="shared" si="0"/>
        <v>0</v>
      </c>
      <c r="K46" s="21">
        <f t="shared" si="1"/>
        <v>0</v>
      </c>
      <c r="L46" s="20">
        <f t="shared" si="2"/>
        <v>0</v>
      </c>
    </row>
    <row r="47" spans="1:12" x14ac:dyDescent="0.3">
      <c r="A47" s="18" t="s">
        <v>307</v>
      </c>
      <c r="B47" s="12" t="s">
        <v>308</v>
      </c>
      <c r="C47" s="18"/>
      <c r="D47" s="19" t="s">
        <v>309</v>
      </c>
      <c r="E47" s="14"/>
      <c r="F47" s="14"/>
      <c r="G47" s="15"/>
      <c r="H47" s="14"/>
      <c r="I47" s="15" t="e">
        <f>+SUMIFS([1]FORECAST!$E:$E,[1]FORECAST!$C:$C,A47)</f>
        <v>#VALUE!</v>
      </c>
      <c r="J47" s="20">
        <f t="shared" si="0"/>
        <v>0</v>
      </c>
      <c r="K47" s="21">
        <f t="shared" si="1"/>
        <v>0</v>
      </c>
      <c r="L47" s="20">
        <f t="shared" si="2"/>
        <v>0</v>
      </c>
    </row>
    <row r="48" spans="1:12" x14ac:dyDescent="0.3">
      <c r="A48" s="18" t="s">
        <v>310</v>
      </c>
      <c r="B48" s="12" t="s">
        <v>311</v>
      </c>
      <c r="C48" s="18"/>
      <c r="D48" s="19" t="s">
        <v>312</v>
      </c>
      <c r="E48" s="14"/>
      <c r="F48" s="14"/>
      <c r="G48" s="15"/>
      <c r="H48" s="14"/>
      <c r="I48" s="15" t="e">
        <f>+SUMIFS([1]FORECAST!$E:$E,[1]FORECAST!$C:$C,A48)</f>
        <v>#VALUE!</v>
      </c>
      <c r="J48" s="20">
        <f t="shared" si="0"/>
        <v>0</v>
      </c>
      <c r="K48" s="21">
        <f t="shared" si="1"/>
        <v>0</v>
      </c>
      <c r="L48" s="20">
        <f t="shared" si="2"/>
        <v>0</v>
      </c>
    </row>
    <row r="49" spans="1:12" ht="15" thickBot="1" x14ac:dyDescent="0.35">
      <c r="A49" s="18" t="s">
        <v>313</v>
      </c>
      <c r="B49" s="12" t="s">
        <v>314</v>
      </c>
      <c r="C49" s="18" t="s">
        <v>165</v>
      </c>
      <c r="D49" s="19" t="s">
        <v>315</v>
      </c>
      <c r="E49" s="14"/>
      <c r="F49" s="14"/>
      <c r="G49" s="15"/>
      <c r="H49" s="14"/>
      <c r="I49" s="15" t="e">
        <f>+SUMIFS([1]FORECAST!$E:$E,[1]FORECAST!$C:$C,A49)</f>
        <v>#VALUE!</v>
      </c>
      <c r="J49" s="20">
        <f t="shared" si="0"/>
        <v>0</v>
      </c>
      <c r="K49" s="21">
        <f t="shared" si="1"/>
        <v>0</v>
      </c>
      <c r="L49" s="20">
        <f t="shared" si="2"/>
        <v>0</v>
      </c>
    </row>
    <row r="50" spans="1:12" ht="15" thickBot="1" x14ac:dyDescent="0.35">
      <c r="A50" s="29"/>
      <c r="B50" s="12" t="s">
        <v>316</v>
      </c>
      <c r="C50" s="29" t="s">
        <v>254</v>
      </c>
      <c r="D50" s="29" t="s">
        <v>317</v>
      </c>
      <c r="E50" s="30"/>
      <c r="F50" s="30"/>
      <c r="G50" s="30"/>
      <c r="H50" s="30"/>
      <c r="I50" s="30" t="e">
        <f>SUM(I30:I49)</f>
        <v>#VALUE!</v>
      </c>
      <c r="J50" s="31">
        <f t="shared" si="0"/>
        <v>0</v>
      </c>
      <c r="K50" s="32">
        <f t="shared" si="1"/>
        <v>0</v>
      </c>
      <c r="L50" s="31">
        <f t="shared" si="2"/>
        <v>0</v>
      </c>
    </row>
    <row r="51" spans="1:12" ht="64.8" x14ac:dyDescent="0.3">
      <c r="A51" s="27" t="s">
        <v>318</v>
      </c>
      <c r="B51" s="12" t="s">
        <v>319</v>
      </c>
      <c r="C51" s="27" t="s">
        <v>165</v>
      </c>
      <c r="D51" s="27" t="s">
        <v>320</v>
      </c>
      <c r="E51" s="14"/>
      <c r="F51" s="14"/>
      <c r="G51" s="15"/>
      <c r="H51" s="14"/>
      <c r="I51" s="15" t="e">
        <f>+SUMIFS([1]FORECAST!$E:$E,[1]FORECAST!$C:$C,A51)</f>
        <v>#VALUE!</v>
      </c>
      <c r="J51" s="20">
        <f t="shared" si="0"/>
        <v>0</v>
      </c>
      <c r="K51" s="33">
        <f t="shared" si="1"/>
        <v>0</v>
      </c>
      <c r="L51" s="20">
        <f t="shared" si="2"/>
        <v>0</v>
      </c>
    </row>
    <row r="52" spans="1:12" ht="21.6" x14ac:dyDescent="0.3">
      <c r="A52" s="27" t="s">
        <v>321</v>
      </c>
      <c r="B52" s="12" t="s">
        <v>322</v>
      </c>
      <c r="C52" s="27" t="s">
        <v>165</v>
      </c>
      <c r="D52" s="27" t="s">
        <v>323</v>
      </c>
      <c r="E52" s="14"/>
      <c r="F52" s="14"/>
      <c r="G52" s="15"/>
      <c r="H52" s="14"/>
      <c r="I52" s="15" t="e">
        <f>+SUMIFS([1]FORECAST!$E:$E,[1]FORECAST!$C:$C,A52)</f>
        <v>#VALUE!</v>
      </c>
      <c r="J52" s="20">
        <f t="shared" si="0"/>
        <v>0</v>
      </c>
      <c r="K52" s="21">
        <f t="shared" si="1"/>
        <v>0</v>
      </c>
      <c r="L52" s="20">
        <f t="shared" si="2"/>
        <v>0</v>
      </c>
    </row>
    <row r="53" spans="1:12" ht="32.4" x14ac:dyDescent="0.3">
      <c r="A53" s="27" t="s">
        <v>324</v>
      </c>
      <c r="B53" s="12" t="s">
        <v>325</v>
      </c>
      <c r="C53" s="27"/>
      <c r="D53" s="27" t="s">
        <v>326</v>
      </c>
      <c r="E53" s="14"/>
      <c r="F53" s="14"/>
      <c r="G53" s="15"/>
      <c r="H53" s="14"/>
      <c r="I53" s="15" t="e">
        <f>+SUMIFS([1]FORECAST!$E:$E,[1]FORECAST!$C:$C,A53)</f>
        <v>#VALUE!</v>
      </c>
      <c r="J53" s="20">
        <f t="shared" si="0"/>
        <v>0</v>
      </c>
      <c r="K53" s="21">
        <f t="shared" si="1"/>
        <v>0</v>
      </c>
      <c r="L53" s="20">
        <f t="shared" si="2"/>
        <v>0</v>
      </c>
    </row>
    <row r="54" spans="1:12" ht="32.4" x14ac:dyDescent="0.3">
      <c r="A54" s="27" t="s">
        <v>327</v>
      </c>
      <c r="B54" s="12" t="s">
        <v>328</v>
      </c>
      <c r="C54" s="27"/>
      <c r="D54" s="27" t="s">
        <v>329</v>
      </c>
      <c r="E54" s="14"/>
      <c r="F54" s="14"/>
      <c r="G54" s="15"/>
      <c r="H54" s="14"/>
      <c r="I54" s="15" t="e">
        <f>+SUMIFS([1]FORECAST!$E:$E,[1]FORECAST!$C:$C,A54)</f>
        <v>#VALUE!</v>
      </c>
      <c r="J54" s="20">
        <f t="shared" si="0"/>
        <v>0</v>
      </c>
      <c r="K54" s="21">
        <f t="shared" si="1"/>
        <v>0</v>
      </c>
      <c r="L54" s="20">
        <f t="shared" si="2"/>
        <v>0</v>
      </c>
    </row>
    <row r="55" spans="1:12" ht="32.4" x14ac:dyDescent="0.3">
      <c r="A55" s="27" t="s">
        <v>330</v>
      </c>
      <c r="B55" s="12" t="s">
        <v>331</v>
      </c>
      <c r="C55" s="27"/>
      <c r="D55" s="27" t="s">
        <v>332</v>
      </c>
      <c r="E55" s="14"/>
      <c r="F55" s="14"/>
      <c r="G55" s="15"/>
      <c r="H55" s="14"/>
      <c r="I55" s="15" t="e">
        <f>+SUMIFS([1]FORECAST!$E:$E,[1]FORECAST!$C:$C,A55)</f>
        <v>#VALUE!</v>
      </c>
      <c r="J55" s="20">
        <f t="shared" si="0"/>
        <v>0</v>
      </c>
      <c r="K55" s="21">
        <f t="shared" si="1"/>
        <v>0</v>
      </c>
      <c r="L55" s="20">
        <f t="shared" si="2"/>
        <v>0</v>
      </c>
    </row>
    <row r="56" spans="1:12" ht="32.4" x14ac:dyDescent="0.3">
      <c r="A56" s="27" t="s">
        <v>333</v>
      </c>
      <c r="B56" s="12" t="s">
        <v>334</v>
      </c>
      <c r="C56" s="27" t="s">
        <v>165</v>
      </c>
      <c r="D56" s="27" t="s">
        <v>335</v>
      </c>
      <c r="E56" s="28"/>
      <c r="F56" s="14"/>
      <c r="G56" s="15"/>
      <c r="H56" s="14"/>
      <c r="I56" s="15" t="e">
        <f>+SUMIFS([1]FORECAST!$E:$E,[1]FORECAST!$C:$C,A56)</f>
        <v>#VALUE!</v>
      </c>
      <c r="J56" s="20">
        <f t="shared" si="0"/>
        <v>0</v>
      </c>
      <c r="K56" s="21">
        <f t="shared" si="1"/>
        <v>0</v>
      </c>
      <c r="L56" s="20">
        <f t="shared" si="2"/>
        <v>0</v>
      </c>
    </row>
    <row r="57" spans="1:12" x14ac:dyDescent="0.3">
      <c r="A57" s="18" t="s">
        <v>336</v>
      </c>
      <c r="B57" s="12" t="s">
        <v>337</v>
      </c>
      <c r="C57" s="18" t="s">
        <v>165</v>
      </c>
      <c r="D57" s="19" t="s">
        <v>338</v>
      </c>
      <c r="E57" s="14"/>
      <c r="F57" s="14"/>
      <c r="G57" s="15"/>
      <c r="H57" s="14"/>
      <c r="I57" s="15" t="e">
        <f>+SUMIFS([1]FORECAST!$E:$E,[1]FORECAST!$C:$C,A57)</f>
        <v>#VALUE!</v>
      </c>
      <c r="J57" s="20">
        <f t="shared" si="0"/>
        <v>0</v>
      </c>
      <c r="K57" s="21">
        <f t="shared" si="1"/>
        <v>0</v>
      </c>
      <c r="L57" s="20">
        <f t="shared" si="2"/>
        <v>0</v>
      </c>
    </row>
    <row r="58" spans="1:12" x14ac:dyDescent="0.3">
      <c r="A58" s="18" t="s">
        <v>339</v>
      </c>
      <c r="B58" s="12" t="s">
        <v>340</v>
      </c>
      <c r="C58" s="18"/>
      <c r="D58" s="19" t="s">
        <v>341</v>
      </c>
      <c r="E58" s="14"/>
      <c r="F58" s="14"/>
      <c r="G58" s="15"/>
      <c r="H58" s="14"/>
      <c r="I58" s="15" t="e">
        <f>+SUMIFS([1]FORECAST!$E:$E,[1]FORECAST!$C:$C,A58)</f>
        <v>#VALUE!</v>
      </c>
      <c r="J58" s="20">
        <f t="shared" si="0"/>
        <v>0</v>
      </c>
      <c r="K58" s="21">
        <f t="shared" si="1"/>
        <v>0</v>
      </c>
      <c r="L58" s="20">
        <f t="shared" si="2"/>
        <v>0</v>
      </c>
    </row>
    <row r="59" spans="1:12" x14ac:dyDescent="0.3">
      <c r="A59" s="18" t="s">
        <v>342</v>
      </c>
      <c r="B59" s="12" t="s">
        <v>343</v>
      </c>
      <c r="C59" s="18"/>
      <c r="D59" s="19" t="s">
        <v>344</v>
      </c>
      <c r="E59" s="14"/>
      <c r="F59" s="14"/>
      <c r="G59" s="15"/>
      <c r="H59" s="14"/>
      <c r="I59" s="15" t="e">
        <f>+SUMIFS([1]FORECAST!$E:$E,[1]FORECAST!$C:$C,A59)</f>
        <v>#VALUE!</v>
      </c>
      <c r="J59" s="20">
        <f t="shared" si="0"/>
        <v>0</v>
      </c>
      <c r="K59" s="21">
        <f t="shared" si="1"/>
        <v>0</v>
      </c>
      <c r="L59" s="20">
        <f t="shared" si="2"/>
        <v>0</v>
      </c>
    </row>
    <row r="60" spans="1:12" x14ac:dyDescent="0.3">
      <c r="A60" s="18" t="s">
        <v>345</v>
      </c>
      <c r="B60" s="12" t="s">
        <v>346</v>
      </c>
      <c r="C60" s="18"/>
      <c r="D60" s="19" t="s">
        <v>347</v>
      </c>
      <c r="E60" s="14"/>
      <c r="F60" s="14"/>
      <c r="G60" s="15"/>
      <c r="H60" s="14"/>
      <c r="I60" s="15" t="e">
        <f>+SUMIFS([1]FORECAST!$E:$E,[1]FORECAST!$C:$C,A60)</f>
        <v>#VALUE!</v>
      </c>
      <c r="J60" s="20">
        <f t="shared" si="0"/>
        <v>0</v>
      </c>
      <c r="K60" s="21">
        <f t="shared" si="1"/>
        <v>0</v>
      </c>
      <c r="L60" s="20">
        <f t="shared" si="2"/>
        <v>0</v>
      </c>
    </row>
    <row r="61" spans="1:12" x14ac:dyDescent="0.3">
      <c r="A61" s="18" t="s">
        <v>348</v>
      </c>
      <c r="B61" s="12" t="s">
        <v>349</v>
      </c>
      <c r="C61" s="18"/>
      <c r="D61" s="19" t="s">
        <v>350</v>
      </c>
      <c r="E61" s="14"/>
      <c r="F61" s="14"/>
      <c r="G61" s="15"/>
      <c r="H61" s="14"/>
      <c r="I61" s="15" t="e">
        <f>+SUMIFS([1]FORECAST!$E:$E,[1]FORECAST!$C:$C,A61)</f>
        <v>#VALUE!</v>
      </c>
      <c r="J61" s="20">
        <f t="shared" si="0"/>
        <v>0</v>
      </c>
      <c r="K61" s="21">
        <f t="shared" si="1"/>
        <v>0</v>
      </c>
      <c r="L61" s="20">
        <f t="shared" si="2"/>
        <v>0</v>
      </c>
    </row>
    <row r="62" spans="1:12" x14ac:dyDescent="0.3">
      <c r="A62" s="18" t="s">
        <v>351</v>
      </c>
      <c r="B62" s="12" t="s">
        <v>352</v>
      </c>
      <c r="C62" s="18"/>
      <c r="D62" s="19" t="s">
        <v>353</v>
      </c>
      <c r="E62" s="14"/>
      <c r="F62" s="14"/>
      <c r="G62" s="15"/>
      <c r="H62" s="14"/>
      <c r="I62" s="15" t="e">
        <f>+SUMIFS([1]FORECAST!$E:$E,[1]FORECAST!$C:$C,A62)</f>
        <v>#VALUE!</v>
      </c>
      <c r="J62" s="20">
        <f t="shared" si="0"/>
        <v>0</v>
      </c>
      <c r="K62" s="21">
        <f t="shared" si="1"/>
        <v>0</v>
      </c>
      <c r="L62" s="20">
        <f t="shared" si="2"/>
        <v>0</v>
      </c>
    </row>
    <row r="63" spans="1:12" x14ac:dyDescent="0.3">
      <c r="A63" s="18" t="s">
        <v>354</v>
      </c>
      <c r="B63" s="12" t="s">
        <v>355</v>
      </c>
      <c r="C63" s="18"/>
      <c r="D63" s="19" t="s">
        <v>356</v>
      </c>
      <c r="E63" s="14"/>
      <c r="F63" s="14"/>
      <c r="G63" s="15"/>
      <c r="H63" s="14"/>
      <c r="I63" s="15" t="e">
        <f>+SUMIFS([1]FORECAST!$E:$E,[1]FORECAST!$C:$C,A63)</f>
        <v>#VALUE!</v>
      </c>
      <c r="J63" s="20">
        <f t="shared" si="0"/>
        <v>0</v>
      </c>
      <c r="K63" s="21">
        <f t="shared" si="1"/>
        <v>0</v>
      </c>
      <c r="L63" s="20">
        <f t="shared" si="2"/>
        <v>0</v>
      </c>
    </row>
    <row r="64" spans="1:12" x14ac:dyDescent="0.3">
      <c r="A64" s="18" t="s">
        <v>357</v>
      </c>
      <c r="B64" s="12" t="s">
        <v>358</v>
      </c>
      <c r="C64" s="18"/>
      <c r="D64" s="19" t="s">
        <v>359</v>
      </c>
      <c r="E64" s="14"/>
      <c r="F64" s="14"/>
      <c r="G64" s="15"/>
      <c r="H64" s="14"/>
      <c r="I64" s="15" t="e">
        <f>+SUMIFS([1]FORECAST!$E:$E,[1]FORECAST!$C:$C,A64)</f>
        <v>#VALUE!</v>
      </c>
      <c r="J64" s="20">
        <f t="shared" si="0"/>
        <v>0</v>
      </c>
      <c r="K64" s="21">
        <f t="shared" si="1"/>
        <v>0</v>
      </c>
      <c r="L64" s="20">
        <f t="shared" si="2"/>
        <v>0</v>
      </c>
    </row>
    <row r="65" spans="1:12" x14ac:dyDescent="0.3">
      <c r="A65" s="18" t="s">
        <v>360</v>
      </c>
      <c r="B65" s="12" t="s">
        <v>361</v>
      </c>
      <c r="C65" s="18"/>
      <c r="D65" s="19" t="s">
        <v>362</v>
      </c>
      <c r="E65" s="14"/>
      <c r="F65" s="14"/>
      <c r="G65" s="15"/>
      <c r="H65" s="14"/>
      <c r="I65" s="15" t="e">
        <f>+SUMIFS([1]FORECAST!$E:$E,[1]FORECAST!$C:$C,A65)</f>
        <v>#VALUE!</v>
      </c>
      <c r="J65" s="20">
        <f t="shared" si="0"/>
        <v>0</v>
      </c>
      <c r="K65" s="21">
        <f t="shared" si="1"/>
        <v>0</v>
      </c>
      <c r="L65" s="20">
        <f t="shared" si="2"/>
        <v>0</v>
      </c>
    </row>
    <row r="66" spans="1:12" x14ac:dyDescent="0.3">
      <c r="A66" s="18" t="s">
        <v>363</v>
      </c>
      <c r="B66" s="12" t="s">
        <v>364</v>
      </c>
      <c r="C66" s="18"/>
      <c r="D66" s="19" t="s">
        <v>365</v>
      </c>
      <c r="E66" s="14"/>
      <c r="F66" s="14"/>
      <c r="G66" s="15"/>
      <c r="H66" s="14"/>
      <c r="I66" s="15" t="e">
        <f>+SUMIFS([1]FORECAST!$E:$E,[1]FORECAST!$C:$C,A66)</f>
        <v>#VALUE!</v>
      </c>
      <c r="J66" s="20">
        <f t="shared" ref="J66:J129" si="3">+(H66-F66)</f>
        <v>0</v>
      </c>
      <c r="K66" s="21">
        <f t="shared" ref="K66:K129" si="4">IFERROR(J66/F66,0)</f>
        <v>0</v>
      </c>
      <c r="L66" s="20">
        <f t="shared" ref="L66:L129" si="5">+H66-E66</f>
        <v>0</v>
      </c>
    </row>
    <row r="67" spans="1:12" x14ac:dyDescent="0.3">
      <c r="A67" s="18" t="s">
        <v>366</v>
      </c>
      <c r="B67" s="12" t="s">
        <v>367</v>
      </c>
      <c r="C67" s="18"/>
      <c r="D67" s="19" t="s">
        <v>368</v>
      </c>
      <c r="E67" s="14"/>
      <c r="F67" s="14"/>
      <c r="G67" s="15"/>
      <c r="H67" s="14"/>
      <c r="I67" s="15" t="e">
        <f>+SUMIFS([1]FORECAST!$E:$E,[1]FORECAST!$C:$C,A67)</f>
        <v>#VALUE!</v>
      </c>
      <c r="J67" s="20">
        <f t="shared" si="3"/>
        <v>0</v>
      </c>
      <c r="K67" s="21">
        <f t="shared" si="4"/>
        <v>0</v>
      </c>
      <c r="L67" s="20">
        <f t="shared" si="5"/>
        <v>0</v>
      </c>
    </row>
    <row r="68" spans="1:12" x14ac:dyDescent="0.3">
      <c r="A68" s="18" t="s">
        <v>369</v>
      </c>
      <c r="B68" s="12" t="s">
        <v>370</v>
      </c>
      <c r="C68" s="18" t="s">
        <v>165</v>
      </c>
      <c r="D68" s="19" t="s">
        <v>371</v>
      </c>
      <c r="E68" s="14"/>
      <c r="F68" s="14"/>
      <c r="G68" s="15"/>
      <c r="H68" s="14"/>
      <c r="I68" s="15" t="e">
        <f>+SUMIFS([1]FORECAST!$E:$E,[1]FORECAST!$C:$C,A68)</f>
        <v>#VALUE!</v>
      </c>
      <c r="J68" s="20">
        <f t="shared" si="3"/>
        <v>0</v>
      </c>
      <c r="K68" s="21">
        <f t="shared" si="4"/>
        <v>0</v>
      </c>
      <c r="L68" s="20">
        <f t="shared" si="5"/>
        <v>0</v>
      </c>
    </row>
    <row r="69" spans="1:12" ht="15" thickBot="1" x14ac:dyDescent="0.35">
      <c r="A69" s="18" t="s">
        <v>372</v>
      </c>
      <c r="B69" s="12" t="s">
        <v>373</v>
      </c>
      <c r="C69" s="18"/>
      <c r="D69" s="19" t="s">
        <v>374</v>
      </c>
      <c r="E69" s="14"/>
      <c r="F69" s="14"/>
      <c r="G69" s="15"/>
      <c r="H69" s="14"/>
      <c r="I69" s="15" t="e">
        <f>+SUMIFS([1]FORECAST!$E:$E,[1]FORECAST!$C:$C,A69)</f>
        <v>#VALUE!</v>
      </c>
      <c r="J69" s="20">
        <f t="shared" si="3"/>
        <v>0</v>
      </c>
      <c r="K69" s="21">
        <f t="shared" si="4"/>
        <v>0</v>
      </c>
      <c r="L69" s="20">
        <f t="shared" si="5"/>
        <v>0</v>
      </c>
    </row>
    <row r="70" spans="1:12" ht="15" thickBot="1" x14ac:dyDescent="0.35">
      <c r="A70" s="29"/>
      <c r="B70" s="12" t="s">
        <v>375</v>
      </c>
      <c r="C70" s="29" t="s">
        <v>254</v>
      </c>
      <c r="D70" s="30" t="s">
        <v>376</v>
      </c>
      <c r="E70" s="30"/>
      <c r="F70" s="30"/>
      <c r="G70" s="30"/>
      <c r="H70" s="30"/>
      <c r="I70" s="30" t="e">
        <f>SUM(I51:I69)</f>
        <v>#VALUE!</v>
      </c>
      <c r="J70" s="31">
        <f t="shared" si="3"/>
        <v>0</v>
      </c>
      <c r="K70" s="32">
        <f t="shared" si="4"/>
        <v>0</v>
      </c>
      <c r="L70" s="31">
        <f t="shared" si="5"/>
        <v>0</v>
      </c>
    </row>
    <row r="71" spans="1:12" ht="21.6" x14ac:dyDescent="0.3">
      <c r="A71" s="27" t="s">
        <v>377</v>
      </c>
      <c r="B71" s="12" t="s">
        <v>378</v>
      </c>
      <c r="C71" s="27" t="s">
        <v>165</v>
      </c>
      <c r="D71" s="34" t="s">
        <v>379</v>
      </c>
      <c r="E71" s="14"/>
      <c r="F71" s="14"/>
      <c r="G71" s="15"/>
      <c r="H71" s="16"/>
      <c r="I71" s="15" t="e">
        <f>+SUMIFS([1]FORECAST!$E:$E,[1]FORECAST!$C:$C,A71)</f>
        <v>#VALUE!</v>
      </c>
      <c r="J71" s="20">
        <f t="shared" si="3"/>
        <v>0</v>
      </c>
      <c r="K71" s="33">
        <f t="shared" si="4"/>
        <v>0</v>
      </c>
      <c r="L71" s="20">
        <f t="shared" si="5"/>
        <v>0</v>
      </c>
    </row>
    <row r="72" spans="1:12" ht="32.4" x14ac:dyDescent="0.3">
      <c r="A72" s="27" t="s">
        <v>380</v>
      </c>
      <c r="B72" s="12" t="s">
        <v>381</v>
      </c>
      <c r="C72" s="27"/>
      <c r="D72" s="34" t="s">
        <v>382</v>
      </c>
      <c r="E72" s="14"/>
      <c r="F72" s="14"/>
      <c r="G72" s="15"/>
      <c r="H72" s="14"/>
      <c r="I72" s="15" t="e">
        <f>+SUMIFS([1]FORECAST!$E:$E,[1]FORECAST!$C:$C,A72)</f>
        <v>#VALUE!</v>
      </c>
      <c r="J72" s="20">
        <f t="shared" si="3"/>
        <v>0</v>
      </c>
      <c r="K72" s="21">
        <f t="shared" si="4"/>
        <v>0</v>
      </c>
      <c r="L72" s="20">
        <f t="shared" si="5"/>
        <v>0</v>
      </c>
    </row>
    <row r="73" spans="1:12" ht="21.6" x14ac:dyDescent="0.3">
      <c r="A73" s="27" t="s">
        <v>383</v>
      </c>
      <c r="B73" s="12" t="s">
        <v>384</v>
      </c>
      <c r="C73" s="27"/>
      <c r="D73" s="34" t="s">
        <v>385</v>
      </c>
      <c r="E73" s="14"/>
      <c r="F73" s="14"/>
      <c r="G73" s="15"/>
      <c r="H73" s="14"/>
      <c r="I73" s="15" t="e">
        <f>+SUMIFS([1]FORECAST!$E:$E,[1]FORECAST!$C:$C,A73)</f>
        <v>#VALUE!</v>
      </c>
      <c r="J73" s="20">
        <f t="shared" si="3"/>
        <v>0</v>
      </c>
      <c r="K73" s="21">
        <f t="shared" si="4"/>
        <v>0</v>
      </c>
      <c r="L73" s="20">
        <f t="shared" si="5"/>
        <v>0</v>
      </c>
    </row>
    <row r="74" spans="1:12" ht="32.4" x14ac:dyDescent="0.3">
      <c r="A74" s="27" t="s">
        <v>386</v>
      </c>
      <c r="B74" s="12" t="s">
        <v>387</v>
      </c>
      <c r="C74" s="27" t="s">
        <v>165</v>
      </c>
      <c r="D74" s="34" t="s">
        <v>388</v>
      </c>
      <c r="E74" s="14"/>
      <c r="F74" s="14"/>
      <c r="G74" s="15"/>
      <c r="H74" s="14"/>
      <c r="I74" s="15" t="e">
        <f>+SUMIFS([1]FORECAST!$E:$E,[1]FORECAST!$C:$C,A74)</f>
        <v>#VALUE!</v>
      </c>
      <c r="J74" s="20">
        <f t="shared" si="3"/>
        <v>0</v>
      </c>
      <c r="K74" s="21">
        <f t="shared" si="4"/>
        <v>0</v>
      </c>
      <c r="L74" s="20">
        <f t="shared" si="5"/>
        <v>0</v>
      </c>
    </row>
    <row r="75" spans="1:12" ht="32.4" x14ac:dyDescent="0.3">
      <c r="A75" s="27" t="s">
        <v>389</v>
      </c>
      <c r="B75" s="12" t="s">
        <v>390</v>
      </c>
      <c r="C75" s="27"/>
      <c r="D75" s="34" t="s">
        <v>391</v>
      </c>
      <c r="E75" s="14"/>
      <c r="F75" s="14"/>
      <c r="G75" s="15"/>
      <c r="H75" s="14"/>
      <c r="I75" s="15" t="e">
        <f>+SUMIFS([1]FORECAST!$E:$E,[1]FORECAST!$C:$C,A75)</f>
        <v>#VALUE!</v>
      </c>
      <c r="J75" s="20">
        <f t="shared" si="3"/>
        <v>0</v>
      </c>
      <c r="K75" s="21">
        <f t="shared" si="4"/>
        <v>0</v>
      </c>
      <c r="L75" s="20">
        <f t="shared" si="5"/>
        <v>0</v>
      </c>
    </row>
    <row r="76" spans="1:12" ht="32.4" x14ac:dyDescent="0.3">
      <c r="A76" s="27" t="s">
        <v>392</v>
      </c>
      <c r="B76" s="12" t="s">
        <v>393</v>
      </c>
      <c r="C76" s="27"/>
      <c r="D76" s="34" t="s">
        <v>394</v>
      </c>
      <c r="E76" s="14"/>
      <c r="F76" s="14"/>
      <c r="G76" s="15"/>
      <c r="H76" s="14"/>
      <c r="I76" s="15" t="e">
        <f>+SUMIFS([1]FORECAST!$E:$E,[1]FORECAST!$C:$C,A76)</f>
        <v>#VALUE!</v>
      </c>
      <c r="J76" s="20">
        <f t="shared" si="3"/>
        <v>0</v>
      </c>
      <c r="K76" s="21">
        <f t="shared" si="4"/>
        <v>0</v>
      </c>
      <c r="L76" s="20">
        <f t="shared" si="5"/>
        <v>0</v>
      </c>
    </row>
    <row r="77" spans="1:12" ht="54" x14ac:dyDescent="0.3">
      <c r="A77" s="27" t="s">
        <v>395</v>
      </c>
      <c r="B77" s="12" t="s">
        <v>396</v>
      </c>
      <c r="C77" s="27"/>
      <c r="D77" s="34" t="s">
        <v>397</v>
      </c>
      <c r="E77" s="14"/>
      <c r="F77" s="14"/>
      <c r="G77" s="15"/>
      <c r="H77" s="14"/>
      <c r="I77" s="15" t="e">
        <f>+SUMIFS([1]FORECAST!$E:$E,[1]FORECAST!$C:$C,A77)</f>
        <v>#VALUE!</v>
      </c>
      <c r="J77" s="20">
        <f t="shared" si="3"/>
        <v>0</v>
      </c>
      <c r="K77" s="21">
        <f t="shared" si="4"/>
        <v>0</v>
      </c>
      <c r="L77" s="20">
        <f t="shared" si="5"/>
        <v>0</v>
      </c>
    </row>
    <row r="78" spans="1:12" ht="54" x14ac:dyDescent="0.3">
      <c r="A78" s="27" t="s">
        <v>398</v>
      </c>
      <c r="B78" s="12" t="s">
        <v>399</v>
      </c>
      <c r="C78" s="27"/>
      <c r="D78" s="34" t="s">
        <v>400</v>
      </c>
      <c r="E78" s="14"/>
      <c r="F78" s="14"/>
      <c r="G78" s="15"/>
      <c r="H78" s="14"/>
      <c r="I78" s="15" t="e">
        <f>+SUMIFS([1]FORECAST!$E:$E,[1]FORECAST!$C:$C,A78)</f>
        <v>#VALUE!</v>
      </c>
      <c r="J78" s="20">
        <f t="shared" si="3"/>
        <v>0</v>
      </c>
      <c r="K78" s="21">
        <f t="shared" si="4"/>
        <v>0</v>
      </c>
      <c r="L78" s="20">
        <f t="shared" si="5"/>
        <v>0</v>
      </c>
    </row>
    <row r="79" spans="1:12" ht="54" x14ac:dyDescent="0.3">
      <c r="A79" s="27" t="s">
        <v>401</v>
      </c>
      <c r="B79" s="12" t="s">
        <v>402</v>
      </c>
      <c r="C79" s="27"/>
      <c r="D79" s="34" t="s">
        <v>403</v>
      </c>
      <c r="E79" s="14"/>
      <c r="F79" s="14"/>
      <c r="G79" s="15"/>
      <c r="H79" s="14"/>
      <c r="I79" s="15" t="e">
        <f>+SUMIFS([1]FORECAST!$E:$E,[1]FORECAST!$C:$C,A79)</f>
        <v>#VALUE!</v>
      </c>
      <c r="J79" s="20">
        <f t="shared" si="3"/>
        <v>0</v>
      </c>
      <c r="K79" s="21">
        <f t="shared" si="4"/>
        <v>0</v>
      </c>
      <c r="L79" s="20">
        <f t="shared" si="5"/>
        <v>0</v>
      </c>
    </row>
    <row r="80" spans="1:12" ht="54" x14ac:dyDescent="0.3">
      <c r="A80" s="27" t="s">
        <v>404</v>
      </c>
      <c r="B80" s="12" t="s">
        <v>405</v>
      </c>
      <c r="C80" s="27"/>
      <c r="D80" s="34" t="s">
        <v>406</v>
      </c>
      <c r="E80" s="14"/>
      <c r="F80" s="14"/>
      <c r="G80" s="15"/>
      <c r="H80" s="14"/>
      <c r="I80" s="15" t="e">
        <f>+SUMIFS([1]FORECAST!$E:$E,[1]FORECAST!$C:$C,A80)</f>
        <v>#VALUE!</v>
      </c>
      <c r="J80" s="20">
        <f t="shared" si="3"/>
        <v>0</v>
      </c>
      <c r="K80" s="21">
        <f t="shared" si="4"/>
        <v>0</v>
      </c>
      <c r="L80" s="20">
        <f t="shared" si="5"/>
        <v>0</v>
      </c>
    </row>
    <row r="81" spans="1:12" x14ac:dyDescent="0.3">
      <c r="A81" s="18" t="s">
        <v>407</v>
      </c>
      <c r="B81" s="12" t="s">
        <v>408</v>
      </c>
      <c r="C81" s="18"/>
      <c r="D81" s="19" t="s">
        <v>409</v>
      </c>
      <c r="E81" s="14"/>
      <c r="F81" s="14"/>
      <c r="G81" s="15"/>
      <c r="H81" s="14"/>
      <c r="I81" s="15" t="e">
        <f>+SUMIFS([1]FORECAST!$E:$E,[1]FORECAST!$C:$C,A81)</f>
        <v>#VALUE!</v>
      </c>
      <c r="J81" s="20">
        <f t="shared" si="3"/>
        <v>0</v>
      </c>
      <c r="K81" s="21">
        <f t="shared" si="4"/>
        <v>0</v>
      </c>
      <c r="L81" s="20">
        <f t="shared" si="5"/>
        <v>0</v>
      </c>
    </row>
    <row r="82" spans="1:12" x14ac:dyDescent="0.3">
      <c r="A82" s="18" t="s">
        <v>410</v>
      </c>
      <c r="B82" s="12" t="s">
        <v>411</v>
      </c>
      <c r="C82" s="18"/>
      <c r="D82" s="19" t="s">
        <v>412</v>
      </c>
      <c r="E82" s="14"/>
      <c r="F82" s="14"/>
      <c r="G82" s="15"/>
      <c r="H82" s="14"/>
      <c r="I82" s="15" t="e">
        <f>+SUMIFS([1]FORECAST!$E:$E,[1]FORECAST!$C:$C,A82)</f>
        <v>#VALUE!</v>
      </c>
      <c r="J82" s="20">
        <f t="shared" si="3"/>
        <v>0</v>
      </c>
      <c r="K82" s="21">
        <f t="shared" si="4"/>
        <v>0</v>
      </c>
      <c r="L82" s="20">
        <f t="shared" si="5"/>
        <v>0</v>
      </c>
    </row>
    <row r="83" spans="1:12" x14ac:dyDescent="0.3">
      <c r="A83" s="18" t="s">
        <v>413</v>
      </c>
      <c r="B83" s="12" t="s">
        <v>414</v>
      </c>
      <c r="C83" s="18"/>
      <c r="D83" s="19" t="s">
        <v>415</v>
      </c>
      <c r="E83" s="14"/>
      <c r="F83" s="14"/>
      <c r="G83" s="15"/>
      <c r="H83" s="14"/>
      <c r="I83" s="15" t="e">
        <f>+SUMIFS([1]FORECAST!$E:$E,[1]FORECAST!$C:$C,A83)</f>
        <v>#VALUE!</v>
      </c>
      <c r="J83" s="20">
        <f t="shared" si="3"/>
        <v>0</v>
      </c>
      <c r="K83" s="21">
        <f t="shared" si="4"/>
        <v>0</v>
      </c>
      <c r="L83" s="20">
        <f t="shared" si="5"/>
        <v>0</v>
      </c>
    </row>
    <row r="84" spans="1:12" x14ac:dyDescent="0.3">
      <c r="A84" s="18" t="s">
        <v>416</v>
      </c>
      <c r="B84" s="12" t="s">
        <v>417</v>
      </c>
      <c r="C84" s="18"/>
      <c r="D84" s="19" t="s">
        <v>418</v>
      </c>
      <c r="E84" s="14"/>
      <c r="F84" s="14"/>
      <c r="G84" s="15"/>
      <c r="H84" s="14"/>
      <c r="I84" s="15" t="e">
        <f>+SUMIFS([1]FORECAST!$E:$E,[1]FORECAST!$C:$C,A84)</f>
        <v>#VALUE!</v>
      </c>
      <c r="J84" s="20">
        <f t="shared" si="3"/>
        <v>0</v>
      </c>
      <c r="K84" s="21">
        <f t="shared" si="4"/>
        <v>0</v>
      </c>
      <c r="L84" s="20">
        <f t="shared" si="5"/>
        <v>0</v>
      </c>
    </row>
    <row r="85" spans="1:12" x14ac:dyDescent="0.3">
      <c r="A85" s="18" t="s">
        <v>419</v>
      </c>
      <c r="B85" s="12" t="s">
        <v>420</v>
      </c>
      <c r="C85" s="18"/>
      <c r="D85" s="19" t="s">
        <v>421</v>
      </c>
      <c r="E85" s="14"/>
      <c r="F85" s="14"/>
      <c r="G85" s="15"/>
      <c r="H85" s="14"/>
      <c r="I85" s="15" t="e">
        <f>+SUMIFS([1]FORECAST!$E:$E,[1]FORECAST!$C:$C,A85)</f>
        <v>#VALUE!</v>
      </c>
      <c r="J85" s="20">
        <f t="shared" si="3"/>
        <v>0</v>
      </c>
      <c r="K85" s="21">
        <f t="shared" si="4"/>
        <v>0</v>
      </c>
      <c r="L85" s="20">
        <f t="shared" si="5"/>
        <v>0</v>
      </c>
    </row>
    <row r="86" spans="1:12" ht="15" thickBot="1" x14ac:dyDescent="0.35">
      <c r="A86" s="18" t="s">
        <v>422</v>
      </c>
      <c r="B86" s="12" t="s">
        <v>423</v>
      </c>
      <c r="C86" s="18"/>
      <c r="D86" s="19" t="s">
        <v>424</v>
      </c>
      <c r="E86" s="14"/>
      <c r="F86" s="14"/>
      <c r="G86" s="15"/>
      <c r="H86" s="14"/>
      <c r="I86" s="15" t="e">
        <f>+SUMIFS([1]FORECAST!$E:$E,[1]FORECAST!$C:$C,A86)</f>
        <v>#VALUE!</v>
      </c>
      <c r="J86" s="20">
        <f t="shared" si="3"/>
        <v>0</v>
      </c>
      <c r="K86" s="21">
        <f t="shared" si="4"/>
        <v>0</v>
      </c>
      <c r="L86" s="20">
        <f t="shared" si="5"/>
        <v>0</v>
      </c>
    </row>
    <row r="87" spans="1:12" ht="15" thickBot="1" x14ac:dyDescent="0.35">
      <c r="A87" s="29"/>
      <c r="B87" s="12" t="s">
        <v>425</v>
      </c>
      <c r="C87" s="29" t="s">
        <v>254</v>
      </c>
      <c r="D87" s="30" t="s">
        <v>426</v>
      </c>
      <c r="E87" s="30"/>
      <c r="F87" s="30"/>
      <c r="G87" s="30"/>
      <c r="H87" s="30"/>
      <c r="I87" s="30" t="e">
        <f>SUM(I71:I86)</f>
        <v>#VALUE!</v>
      </c>
      <c r="J87" s="31">
        <f t="shared" si="3"/>
        <v>0</v>
      </c>
      <c r="K87" s="32">
        <f t="shared" si="4"/>
        <v>0</v>
      </c>
      <c r="L87" s="31">
        <f t="shared" si="5"/>
        <v>0</v>
      </c>
    </row>
    <row r="88" spans="1:12" x14ac:dyDescent="0.3">
      <c r="A88" s="18" t="s">
        <v>427</v>
      </c>
      <c r="B88" s="12" t="s">
        <v>428</v>
      </c>
      <c r="C88" s="18"/>
      <c r="D88" s="19" t="s">
        <v>429</v>
      </c>
      <c r="E88" s="14"/>
      <c r="F88" s="14"/>
      <c r="G88" s="15"/>
      <c r="H88" s="14"/>
      <c r="I88" s="15" t="e">
        <f>+SUMIFS([1]FORECAST!$E:$E,[1]FORECAST!$C:$C,A88)</f>
        <v>#VALUE!</v>
      </c>
      <c r="J88" s="20">
        <f t="shared" si="3"/>
        <v>0</v>
      </c>
      <c r="K88" s="21">
        <f t="shared" si="4"/>
        <v>0</v>
      </c>
      <c r="L88" s="20">
        <f t="shared" si="5"/>
        <v>0</v>
      </c>
    </row>
    <row r="89" spans="1:12" x14ac:dyDescent="0.3">
      <c r="A89" s="18" t="s">
        <v>430</v>
      </c>
      <c r="B89" s="12" t="s">
        <v>431</v>
      </c>
      <c r="C89" s="18"/>
      <c r="D89" s="19" t="s">
        <v>432</v>
      </c>
      <c r="E89" s="14"/>
      <c r="F89" s="14"/>
      <c r="G89" s="15"/>
      <c r="H89" s="14"/>
      <c r="I89" s="15" t="e">
        <f>+SUMIFS([1]FORECAST!$E:$E,[1]FORECAST!$C:$C,A89)</f>
        <v>#VALUE!</v>
      </c>
      <c r="J89" s="20">
        <f t="shared" si="3"/>
        <v>0</v>
      </c>
      <c r="K89" s="21">
        <f t="shared" si="4"/>
        <v>0</v>
      </c>
      <c r="L89" s="20">
        <f t="shared" si="5"/>
        <v>0</v>
      </c>
    </row>
    <row r="90" spans="1:12" ht="15" thickBot="1" x14ac:dyDescent="0.35">
      <c r="A90" s="18" t="s">
        <v>433</v>
      </c>
      <c r="B90" s="12" t="s">
        <v>434</v>
      </c>
      <c r="C90" s="18"/>
      <c r="D90" s="19" t="s">
        <v>435</v>
      </c>
      <c r="E90" s="14"/>
      <c r="F90" s="14"/>
      <c r="G90" s="15"/>
      <c r="H90" s="14"/>
      <c r="I90" s="15" t="e">
        <f>+SUMIFS([1]FORECAST!$E:$E,[1]FORECAST!$C:$C,A90)</f>
        <v>#VALUE!</v>
      </c>
      <c r="J90" s="20">
        <f t="shared" si="3"/>
        <v>0</v>
      </c>
      <c r="K90" s="21">
        <f t="shared" si="4"/>
        <v>0</v>
      </c>
      <c r="L90" s="20">
        <f t="shared" si="5"/>
        <v>0</v>
      </c>
    </row>
    <row r="91" spans="1:12" ht="15" thickBot="1" x14ac:dyDescent="0.35">
      <c r="A91" s="35"/>
      <c r="B91" s="12" t="s">
        <v>436</v>
      </c>
      <c r="C91" s="35"/>
      <c r="D91" s="36" t="s">
        <v>437</v>
      </c>
      <c r="E91" s="37"/>
      <c r="F91" s="37"/>
      <c r="G91" s="37"/>
      <c r="H91" s="37"/>
      <c r="I91" s="37" t="e">
        <f>I88+I90+I89</f>
        <v>#VALUE!</v>
      </c>
      <c r="J91" s="38">
        <f t="shared" si="3"/>
        <v>0</v>
      </c>
      <c r="K91" s="39">
        <f t="shared" si="4"/>
        <v>0</v>
      </c>
      <c r="L91" s="38">
        <f t="shared" si="5"/>
        <v>0</v>
      </c>
    </row>
    <row r="92" spans="1:12" ht="15" thickBot="1" x14ac:dyDescent="0.35">
      <c r="A92" s="40"/>
      <c r="B92" s="12" t="s">
        <v>438</v>
      </c>
      <c r="C92" s="40" t="s">
        <v>254</v>
      </c>
      <c r="D92" s="41" t="s">
        <v>439</v>
      </c>
      <c r="E92" s="41"/>
      <c r="F92" s="41"/>
      <c r="G92" s="41"/>
      <c r="H92" s="41"/>
      <c r="I92" s="41" t="e">
        <f>+I29+I50+I70+I87+I91</f>
        <v>#VALUE!</v>
      </c>
      <c r="J92" s="25">
        <f t="shared" si="3"/>
        <v>0</v>
      </c>
      <c r="K92" s="42">
        <f t="shared" si="4"/>
        <v>0</v>
      </c>
      <c r="L92" s="25">
        <f t="shared" si="5"/>
        <v>0</v>
      </c>
    </row>
    <row r="93" spans="1:12" ht="15" thickBot="1" x14ac:dyDescent="0.35">
      <c r="A93" s="43"/>
      <c r="B93" s="12" t="s">
        <v>440</v>
      </c>
      <c r="C93" s="43" t="s">
        <v>254</v>
      </c>
      <c r="D93" s="44" t="s">
        <v>441</v>
      </c>
      <c r="E93" s="44"/>
      <c r="F93" s="44"/>
      <c r="G93" s="44"/>
      <c r="H93" s="44"/>
      <c r="I93" s="44" t="e">
        <f>I8+I29+I50+I70+I87+I91</f>
        <v>#VALUE!</v>
      </c>
      <c r="J93" s="25">
        <f t="shared" si="3"/>
        <v>0</v>
      </c>
      <c r="K93" s="45">
        <f t="shared" si="4"/>
        <v>0</v>
      </c>
      <c r="L93" s="25">
        <f t="shared" si="5"/>
        <v>0</v>
      </c>
    </row>
    <row r="94" spans="1:12" x14ac:dyDescent="0.3">
      <c r="A94" s="46"/>
      <c r="B94" s="12" t="s">
        <v>442</v>
      </c>
      <c r="C94" s="46" t="s">
        <v>254</v>
      </c>
      <c r="D94" s="47" t="s">
        <v>443</v>
      </c>
      <c r="E94" s="48"/>
      <c r="F94" s="48"/>
      <c r="G94" s="48"/>
      <c r="H94" s="48"/>
      <c r="I94" s="48" t="e">
        <f>+I93/I8</f>
        <v>#VALUE!</v>
      </c>
      <c r="J94" s="49">
        <f t="shared" si="3"/>
        <v>0</v>
      </c>
      <c r="K94" s="48">
        <f t="shared" si="4"/>
        <v>0</v>
      </c>
      <c r="L94" s="49">
        <f t="shared" si="5"/>
        <v>0</v>
      </c>
    </row>
    <row r="95" spans="1:12" x14ac:dyDescent="0.3">
      <c r="A95" s="18" t="s">
        <v>444</v>
      </c>
      <c r="B95" s="12" t="s">
        <v>445</v>
      </c>
      <c r="C95" s="18"/>
      <c r="D95" s="50" t="s">
        <v>446</v>
      </c>
      <c r="E95" s="14"/>
      <c r="F95" s="14"/>
      <c r="G95" s="15"/>
      <c r="H95" s="14"/>
      <c r="I95" s="15" t="e">
        <f>+SUMIFS([1]FORECAST!$E:$E,[1]FORECAST!$C:$C,A95)</f>
        <v>#VALUE!</v>
      </c>
      <c r="J95" s="20">
        <f t="shared" si="3"/>
        <v>0</v>
      </c>
      <c r="K95" s="21">
        <f t="shared" si="4"/>
        <v>0</v>
      </c>
      <c r="L95" s="20">
        <f t="shared" si="5"/>
        <v>0</v>
      </c>
    </row>
    <row r="96" spans="1:12" x14ac:dyDescent="0.3">
      <c r="A96" s="18" t="s">
        <v>447</v>
      </c>
      <c r="B96" s="12" t="s">
        <v>448</v>
      </c>
      <c r="C96" s="18" t="s">
        <v>449</v>
      </c>
      <c r="D96" s="19" t="s">
        <v>450</v>
      </c>
      <c r="E96" s="14"/>
      <c r="F96" s="14"/>
      <c r="G96" s="15"/>
      <c r="H96" s="14"/>
      <c r="I96" s="15" t="e">
        <f>+SUMIFS([1]FORECAST!$E:$E,[1]FORECAST!$C:$C,A96)</f>
        <v>#VALUE!</v>
      </c>
      <c r="J96" s="20">
        <f t="shared" si="3"/>
        <v>0</v>
      </c>
      <c r="K96" s="21">
        <f t="shared" si="4"/>
        <v>0</v>
      </c>
      <c r="L96" s="20">
        <f t="shared" si="5"/>
        <v>0</v>
      </c>
    </row>
    <row r="97" spans="1:12" x14ac:dyDescent="0.3">
      <c r="A97" s="18" t="s">
        <v>451</v>
      </c>
      <c r="B97" s="12" t="s">
        <v>452</v>
      </c>
      <c r="C97" s="18" t="s">
        <v>449</v>
      </c>
      <c r="D97" s="19" t="s">
        <v>453</v>
      </c>
      <c r="E97" s="14"/>
      <c r="F97" s="14"/>
      <c r="G97" s="15"/>
      <c r="H97" s="14"/>
      <c r="I97" s="15" t="e">
        <f>+SUMIFS([1]FORECAST!$E:$E,[1]FORECAST!$C:$C,A97)</f>
        <v>#VALUE!</v>
      </c>
      <c r="J97" s="20">
        <f t="shared" si="3"/>
        <v>0</v>
      </c>
      <c r="K97" s="21">
        <f t="shared" si="4"/>
        <v>0</v>
      </c>
      <c r="L97" s="20">
        <f t="shared" si="5"/>
        <v>0</v>
      </c>
    </row>
    <row r="98" spans="1:12" x14ac:dyDescent="0.3">
      <c r="A98" s="18" t="s">
        <v>454</v>
      </c>
      <c r="B98" s="12" t="s">
        <v>455</v>
      </c>
      <c r="C98" s="18" t="s">
        <v>449</v>
      </c>
      <c r="D98" s="19" t="s">
        <v>456</v>
      </c>
      <c r="E98" s="14"/>
      <c r="F98" s="14"/>
      <c r="G98" s="15"/>
      <c r="H98" s="14"/>
      <c r="I98" s="15" t="e">
        <f>+SUMIFS([1]FORECAST!$E:$E,[1]FORECAST!$C:$C,A98)</f>
        <v>#VALUE!</v>
      </c>
      <c r="J98" s="51">
        <f t="shared" si="3"/>
        <v>0</v>
      </c>
      <c r="K98" s="21">
        <f t="shared" si="4"/>
        <v>0</v>
      </c>
      <c r="L98" s="20">
        <f t="shared" si="5"/>
        <v>0</v>
      </c>
    </row>
    <row r="99" spans="1:12" x14ac:dyDescent="0.3">
      <c r="A99" s="18" t="s">
        <v>457</v>
      </c>
      <c r="B99" s="12" t="s">
        <v>458</v>
      </c>
      <c r="C99" s="18" t="s">
        <v>449</v>
      </c>
      <c r="D99" s="19" t="s">
        <v>459</v>
      </c>
      <c r="E99" s="14"/>
      <c r="F99" s="52"/>
      <c r="G99" s="15"/>
      <c r="H99" s="52"/>
      <c r="I99" s="15" t="e">
        <f>+SUMIFS([1]FORECAST!$E:$E,[1]FORECAST!$C:$C,A99)</f>
        <v>#VALUE!</v>
      </c>
      <c r="J99" s="20">
        <f t="shared" si="3"/>
        <v>0</v>
      </c>
      <c r="K99" s="21">
        <f t="shared" si="4"/>
        <v>0</v>
      </c>
      <c r="L99" s="20">
        <f t="shared" si="5"/>
        <v>0</v>
      </c>
    </row>
    <row r="100" spans="1:12" x14ac:dyDescent="0.3">
      <c r="A100" s="18" t="s">
        <v>460</v>
      </c>
      <c r="B100" s="12" t="s">
        <v>461</v>
      </c>
      <c r="C100" s="18" t="s">
        <v>449</v>
      </c>
      <c r="D100" s="19" t="s">
        <v>462</v>
      </c>
      <c r="E100" s="14"/>
      <c r="F100" s="14"/>
      <c r="G100" s="15"/>
      <c r="H100" s="14"/>
      <c r="I100" s="15" t="e">
        <f>+SUMIFS([1]FORECAST!$E:$E,[1]FORECAST!$C:$C,A100)</f>
        <v>#VALUE!</v>
      </c>
      <c r="J100" s="20">
        <f t="shared" si="3"/>
        <v>0</v>
      </c>
      <c r="K100" s="21">
        <f t="shared" si="4"/>
        <v>0</v>
      </c>
      <c r="L100" s="20">
        <f t="shared" si="5"/>
        <v>0</v>
      </c>
    </row>
    <row r="101" spans="1:12" x14ac:dyDescent="0.3">
      <c r="A101" s="18" t="s">
        <v>463</v>
      </c>
      <c r="B101" s="12" t="s">
        <v>464</v>
      </c>
      <c r="C101" s="18" t="s">
        <v>449</v>
      </c>
      <c r="D101" s="19" t="s">
        <v>465</v>
      </c>
      <c r="E101" s="14"/>
      <c r="F101" s="14"/>
      <c r="G101" s="15"/>
      <c r="H101" s="14"/>
      <c r="I101" s="15" t="e">
        <f>+SUMIFS([1]FORECAST!$E:$E,[1]FORECAST!$C:$C,A101)</f>
        <v>#VALUE!</v>
      </c>
      <c r="J101" s="20">
        <f t="shared" si="3"/>
        <v>0</v>
      </c>
      <c r="K101" s="21">
        <f t="shared" si="4"/>
        <v>0</v>
      </c>
      <c r="L101" s="20">
        <f t="shared" si="5"/>
        <v>0</v>
      </c>
    </row>
    <row r="102" spans="1:12" x14ac:dyDescent="0.3">
      <c r="A102" s="18" t="s">
        <v>466</v>
      </c>
      <c r="B102" s="12" t="s">
        <v>467</v>
      </c>
      <c r="C102" s="18" t="s">
        <v>449</v>
      </c>
      <c r="D102" s="19" t="s">
        <v>468</v>
      </c>
      <c r="E102" s="14"/>
      <c r="F102" s="14"/>
      <c r="G102" s="15"/>
      <c r="H102" s="14"/>
      <c r="I102" s="15" t="e">
        <f>+SUMIFS([1]FORECAST!$E:$E,[1]FORECAST!$C:$C,A102)</f>
        <v>#VALUE!</v>
      </c>
      <c r="J102" s="20">
        <f t="shared" si="3"/>
        <v>0</v>
      </c>
      <c r="K102" s="21">
        <f t="shared" si="4"/>
        <v>0</v>
      </c>
      <c r="L102" s="20">
        <f t="shared" si="5"/>
        <v>0</v>
      </c>
    </row>
    <row r="103" spans="1:12" x14ac:dyDescent="0.3">
      <c r="A103" s="18" t="s">
        <v>469</v>
      </c>
      <c r="B103" s="12" t="s">
        <v>470</v>
      </c>
      <c r="C103" s="18"/>
      <c r="D103" s="19" t="s">
        <v>471</v>
      </c>
      <c r="E103" s="14"/>
      <c r="F103" s="14"/>
      <c r="G103" s="15"/>
      <c r="H103" s="14"/>
      <c r="I103" s="15" t="e">
        <f>+SUMIFS([1]FORECAST!$E:$E,[1]FORECAST!$C:$C,A103)</f>
        <v>#VALUE!</v>
      </c>
      <c r="J103" s="20">
        <f t="shared" si="3"/>
        <v>0</v>
      </c>
      <c r="K103" s="21">
        <f t="shared" si="4"/>
        <v>0</v>
      </c>
      <c r="L103" s="20">
        <f t="shared" si="5"/>
        <v>0</v>
      </c>
    </row>
    <row r="104" spans="1:12" x14ac:dyDescent="0.3">
      <c r="A104" s="18" t="s">
        <v>472</v>
      </c>
      <c r="B104" s="12" t="s">
        <v>473</v>
      </c>
      <c r="C104" s="18"/>
      <c r="D104" s="19" t="s">
        <v>474</v>
      </c>
      <c r="E104" s="14"/>
      <c r="F104" s="14"/>
      <c r="G104" s="15"/>
      <c r="H104" s="14"/>
      <c r="I104" s="15" t="e">
        <f>+SUMIFS([1]FORECAST!$E:$E,[1]FORECAST!$C:$C,A104)</f>
        <v>#VALUE!</v>
      </c>
      <c r="J104" s="20">
        <f t="shared" si="3"/>
        <v>0</v>
      </c>
      <c r="K104" s="21">
        <f t="shared" si="4"/>
        <v>0</v>
      </c>
      <c r="L104" s="20">
        <f t="shared" si="5"/>
        <v>0</v>
      </c>
    </row>
    <row r="105" spans="1:12" x14ac:dyDescent="0.3">
      <c r="A105" s="18" t="s">
        <v>475</v>
      </c>
      <c r="B105" s="12" t="s">
        <v>476</v>
      </c>
      <c r="C105" s="18" t="s">
        <v>449</v>
      </c>
      <c r="D105" s="19" t="s">
        <v>477</v>
      </c>
      <c r="E105" s="14"/>
      <c r="F105" s="14"/>
      <c r="G105" s="15"/>
      <c r="H105" s="14"/>
      <c r="I105" s="15" t="e">
        <f>+SUMIFS([1]FORECAST!$E:$E,[1]FORECAST!$C:$C,A105)</f>
        <v>#VALUE!</v>
      </c>
      <c r="J105" s="20">
        <f t="shared" si="3"/>
        <v>0</v>
      </c>
      <c r="K105" s="21">
        <f t="shared" si="4"/>
        <v>0</v>
      </c>
      <c r="L105" s="20">
        <f t="shared" si="5"/>
        <v>0</v>
      </c>
    </row>
    <row r="106" spans="1:12" x14ac:dyDescent="0.3">
      <c r="A106" s="18" t="s">
        <v>478</v>
      </c>
      <c r="B106" s="12" t="s">
        <v>479</v>
      </c>
      <c r="C106" s="18" t="s">
        <v>449</v>
      </c>
      <c r="D106" s="19" t="s">
        <v>480</v>
      </c>
      <c r="E106" s="14"/>
      <c r="F106" s="14"/>
      <c r="G106" s="15"/>
      <c r="H106" s="14"/>
      <c r="I106" s="15" t="e">
        <f>+SUMIFS([1]FORECAST!$E:$E,[1]FORECAST!$C:$C,A106)</f>
        <v>#VALUE!</v>
      </c>
      <c r="J106" s="20">
        <f t="shared" si="3"/>
        <v>0</v>
      </c>
      <c r="K106" s="21">
        <f t="shared" si="4"/>
        <v>0</v>
      </c>
      <c r="L106" s="20">
        <f t="shared" si="5"/>
        <v>0</v>
      </c>
    </row>
    <row r="107" spans="1:12" x14ac:dyDescent="0.3">
      <c r="A107" s="18" t="s">
        <v>481</v>
      </c>
      <c r="B107" s="12" t="s">
        <v>482</v>
      </c>
      <c r="C107" s="18" t="s">
        <v>449</v>
      </c>
      <c r="D107" s="19" t="s">
        <v>483</v>
      </c>
      <c r="E107" s="14"/>
      <c r="F107" s="14"/>
      <c r="G107" s="15"/>
      <c r="H107" s="14"/>
      <c r="I107" s="15" t="e">
        <f>+SUMIFS([1]FORECAST!$E:$E,[1]FORECAST!$C:$C,A107)</f>
        <v>#VALUE!</v>
      </c>
      <c r="J107" s="20">
        <f t="shared" si="3"/>
        <v>0</v>
      </c>
      <c r="K107" s="21">
        <f t="shared" si="4"/>
        <v>0</v>
      </c>
      <c r="L107" s="20">
        <f t="shared" si="5"/>
        <v>0</v>
      </c>
    </row>
    <row r="108" spans="1:12" x14ac:dyDescent="0.3">
      <c r="A108" s="18" t="s">
        <v>484</v>
      </c>
      <c r="B108" s="12" t="s">
        <v>485</v>
      </c>
      <c r="C108" s="18" t="s">
        <v>449</v>
      </c>
      <c r="D108" s="19" t="s">
        <v>486</v>
      </c>
      <c r="E108" s="14"/>
      <c r="F108" s="14"/>
      <c r="G108" s="15"/>
      <c r="H108" s="14"/>
      <c r="I108" s="15" t="e">
        <f>+SUMIFS([1]FORECAST!$E:$E,[1]FORECAST!$C:$C,A108)</f>
        <v>#VALUE!</v>
      </c>
      <c r="J108" s="51">
        <f t="shared" si="3"/>
        <v>0</v>
      </c>
      <c r="K108" s="21">
        <f t="shared" si="4"/>
        <v>0</v>
      </c>
      <c r="L108" s="20">
        <f t="shared" si="5"/>
        <v>0</v>
      </c>
    </row>
    <row r="109" spans="1:12" ht="15" thickBot="1" x14ac:dyDescent="0.35">
      <c r="A109" s="18" t="s">
        <v>487</v>
      </c>
      <c r="B109" s="12" t="s">
        <v>488</v>
      </c>
      <c r="C109" s="18" t="s">
        <v>449</v>
      </c>
      <c r="D109" s="19" t="s">
        <v>489</v>
      </c>
      <c r="E109" s="14"/>
      <c r="F109" s="14"/>
      <c r="G109" s="15"/>
      <c r="H109" s="14"/>
      <c r="I109" s="15" t="e">
        <f>+SUMIFS([1]FORECAST!$E:$E,[1]FORECAST!$C:$C,A109)</f>
        <v>#VALUE!</v>
      </c>
      <c r="J109" s="20">
        <f t="shared" si="3"/>
        <v>0</v>
      </c>
      <c r="K109" s="21">
        <f t="shared" si="4"/>
        <v>0</v>
      </c>
      <c r="L109" s="20">
        <f t="shared" si="5"/>
        <v>0</v>
      </c>
    </row>
    <row r="110" spans="1:12" ht="15" thickBot="1" x14ac:dyDescent="0.35">
      <c r="A110" s="53"/>
      <c r="B110" s="12" t="s">
        <v>490</v>
      </c>
      <c r="C110" s="53" t="s">
        <v>254</v>
      </c>
      <c r="D110" s="54" t="s">
        <v>491</v>
      </c>
      <c r="E110" s="54"/>
      <c r="F110" s="54"/>
      <c r="G110" s="54"/>
      <c r="H110" s="54"/>
      <c r="I110" s="54" t="e">
        <f>SUM(I95:I109)</f>
        <v>#VALUE!</v>
      </c>
      <c r="J110" s="31">
        <f t="shared" si="3"/>
        <v>0</v>
      </c>
      <c r="K110" s="32">
        <f t="shared" si="4"/>
        <v>0</v>
      </c>
      <c r="L110" s="31">
        <f t="shared" si="5"/>
        <v>0</v>
      </c>
    </row>
    <row r="111" spans="1:12" x14ac:dyDescent="0.3">
      <c r="A111" s="18" t="s">
        <v>492</v>
      </c>
      <c r="B111" s="12" t="s">
        <v>493</v>
      </c>
      <c r="C111" s="18"/>
      <c r="D111" s="19" t="s">
        <v>494</v>
      </c>
      <c r="E111" s="14"/>
      <c r="F111" s="14"/>
      <c r="G111" s="15"/>
      <c r="H111" s="14"/>
      <c r="I111" s="15" t="e">
        <f>+SUMIFS([1]FORECAST!$E:$E,[1]FORECAST!$C:$C,A111)</f>
        <v>#VALUE!</v>
      </c>
      <c r="J111" s="20">
        <f t="shared" si="3"/>
        <v>0</v>
      </c>
      <c r="K111" s="21">
        <f t="shared" si="4"/>
        <v>0</v>
      </c>
      <c r="L111" s="20">
        <f t="shared" si="5"/>
        <v>0</v>
      </c>
    </row>
    <row r="112" spans="1:12" ht="15" thickBot="1" x14ac:dyDescent="0.35">
      <c r="A112" s="18" t="s">
        <v>495</v>
      </c>
      <c r="B112" s="12" t="s">
        <v>496</v>
      </c>
      <c r="C112" s="18"/>
      <c r="D112" s="19" t="s">
        <v>497</v>
      </c>
      <c r="E112" s="14"/>
      <c r="F112" s="14"/>
      <c r="G112" s="15"/>
      <c r="H112" s="14"/>
      <c r="I112" s="15" t="e">
        <f>+SUMIFS([1]FORECAST!$E:$E,[1]FORECAST!$C:$C,A112)</f>
        <v>#VALUE!</v>
      </c>
      <c r="J112" s="20">
        <f t="shared" si="3"/>
        <v>0</v>
      </c>
      <c r="K112" s="21">
        <f t="shared" si="4"/>
        <v>0</v>
      </c>
      <c r="L112" s="20">
        <f t="shared" si="5"/>
        <v>0</v>
      </c>
    </row>
    <row r="113" spans="1:12" ht="15" thickBot="1" x14ac:dyDescent="0.35">
      <c r="A113" s="55"/>
      <c r="B113" s="12" t="s">
        <v>498</v>
      </c>
      <c r="C113" s="55" t="s">
        <v>254</v>
      </c>
      <c r="D113" s="56" t="s">
        <v>499</v>
      </c>
      <c r="E113" s="57"/>
      <c r="F113" s="57"/>
      <c r="G113" s="57"/>
      <c r="H113" s="57"/>
      <c r="I113" s="57" t="e">
        <f>SUM(I111+I112)</f>
        <v>#VALUE!</v>
      </c>
      <c r="J113" s="31">
        <f t="shared" si="3"/>
        <v>0</v>
      </c>
      <c r="K113" s="32">
        <f t="shared" si="4"/>
        <v>0</v>
      </c>
      <c r="L113" s="31">
        <f t="shared" si="5"/>
        <v>0</v>
      </c>
    </row>
    <row r="114" spans="1:12" x14ac:dyDescent="0.3">
      <c r="A114" s="18" t="s">
        <v>500</v>
      </c>
      <c r="B114" s="12" t="s">
        <v>501</v>
      </c>
      <c r="C114" s="18" t="s">
        <v>449</v>
      </c>
      <c r="D114" s="19" t="s">
        <v>502</v>
      </c>
      <c r="E114" s="28"/>
      <c r="F114" s="14"/>
      <c r="G114" s="15"/>
      <c r="H114" s="14"/>
      <c r="I114" s="15" t="e">
        <f>+SUMIFS([1]FORECAST!$E:$E,[1]FORECAST!$C:$C,A114)</f>
        <v>#VALUE!</v>
      </c>
      <c r="J114" s="20">
        <f t="shared" si="3"/>
        <v>0</v>
      </c>
      <c r="K114" s="21">
        <f t="shared" si="4"/>
        <v>0</v>
      </c>
      <c r="L114" s="20">
        <f t="shared" si="5"/>
        <v>0</v>
      </c>
    </row>
    <row r="115" spans="1:12" x14ac:dyDescent="0.3">
      <c r="A115" s="18" t="s">
        <v>503</v>
      </c>
      <c r="B115" s="12" t="s">
        <v>504</v>
      </c>
      <c r="C115" s="18"/>
      <c r="D115" s="19" t="s">
        <v>505</v>
      </c>
      <c r="E115" s="14"/>
      <c r="F115" s="14"/>
      <c r="G115" s="15"/>
      <c r="H115" s="14"/>
      <c r="I115" s="15" t="e">
        <f>+SUMIFS([1]FORECAST!$E:$E,[1]FORECAST!$C:$C,A115)</f>
        <v>#VALUE!</v>
      </c>
      <c r="J115" s="20">
        <f t="shared" si="3"/>
        <v>0</v>
      </c>
      <c r="K115" s="21">
        <f t="shared" si="4"/>
        <v>0</v>
      </c>
      <c r="L115" s="20">
        <f t="shared" si="5"/>
        <v>0</v>
      </c>
    </row>
    <row r="116" spans="1:12" x14ac:dyDescent="0.3">
      <c r="A116" s="18" t="s">
        <v>506</v>
      </c>
      <c r="B116" s="12" t="s">
        <v>507</v>
      </c>
      <c r="C116" s="18"/>
      <c r="D116" s="19" t="s">
        <v>508</v>
      </c>
      <c r="E116" s="14"/>
      <c r="F116" s="14"/>
      <c r="G116" s="15"/>
      <c r="H116" s="14"/>
      <c r="I116" s="15" t="e">
        <f>+SUMIFS([1]FORECAST!$E:$E,[1]FORECAST!$C:$C,A116)</f>
        <v>#VALUE!</v>
      </c>
      <c r="J116" s="20">
        <f t="shared" si="3"/>
        <v>0</v>
      </c>
      <c r="K116" s="21">
        <f t="shared" si="4"/>
        <v>0</v>
      </c>
      <c r="L116" s="20">
        <f t="shared" si="5"/>
        <v>0</v>
      </c>
    </row>
    <row r="117" spans="1:12" x14ac:dyDescent="0.3">
      <c r="A117" s="50" t="s">
        <v>509</v>
      </c>
      <c r="B117" s="12" t="s">
        <v>510</v>
      </c>
      <c r="C117" s="50"/>
      <c r="D117" s="50" t="s">
        <v>511</v>
      </c>
      <c r="E117" s="14"/>
      <c r="F117" s="14"/>
      <c r="G117" s="15"/>
      <c r="H117" s="14"/>
      <c r="I117" s="15" t="e">
        <f>+SUMIFS([1]FORECAST!$E:$E,[1]FORECAST!$C:$C,A117)</f>
        <v>#VALUE!</v>
      </c>
      <c r="J117" s="20">
        <f t="shared" si="3"/>
        <v>0</v>
      </c>
      <c r="K117" s="21">
        <f t="shared" si="4"/>
        <v>0</v>
      </c>
      <c r="L117" s="20">
        <f t="shared" si="5"/>
        <v>0</v>
      </c>
    </row>
    <row r="118" spans="1:12" ht="15" thickBot="1" x14ac:dyDescent="0.35">
      <c r="A118" s="18" t="s">
        <v>512</v>
      </c>
      <c r="B118" s="12" t="s">
        <v>513</v>
      </c>
      <c r="C118" s="18"/>
      <c r="D118" s="19" t="s">
        <v>514</v>
      </c>
      <c r="E118" s="14"/>
      <c r="F118" s="14"/>
      <c r="G118" s="15"/>
      <c r="H118" s="14"/>
      <c r="I118" s="15" t="e">
        <f>+SUMIFS([1]FORECAST!$E:$E,[1]FORECAST!$C:$C,A118)</f>
        <v>#VALUE!</v>
      </c>
      <c r="J118" s="20">
        <f t="shared" si="3"/>
        <v>0</v>
      </c>
      <c r="K118" s="21">
        <f t="shared" si="4"/>
        <v>0</v>
      </c>
      <c r="L118" s="20">
        <f t="shared" si="5"/>
        <v>0</v>
      </c>
    </row>
    <row r="119" spans="1:12" ht="15" thickBot="1" x14ac:dyDescent="0.35">
      <c r="A119" s="53"/>
      <c r="B119" s="12" t="s">
        <v>515</v>
      </c>
      <c r="C119" s="53" t="s">
        <v>254</v>
      </c>
      <c r="D119" s="53" t="s">
        <v>516</v>
      </c>
      <c r="E119" s="54"/>
      <c r="F119" s="54"/>
      <c r="G119" s="54"/>
      <c r="H119" s="54"/>
      <c r="I119" s="54" t="e">
        <f>SUM(I114:I118)</f>
        <v>#VALUE!</v>
      </c>
      <c r="J119" s="31">
        <f t="shared" si="3"/>
        <v>0</v>
      </c>
      <c r="K119" s="32">
        <f t="shared" si="4"/>
        <v>0</v>
      </c>
      <c r="L119" s="31">
        <f t="shared" si="5"/>
        <v>0</v>
      </c>
    </row>
    <row r="120" spans="1:12" x14ac:dyDescent="0.3">
      <c r="A120" s="18" t="s">
        <v>517</v>
      </c>
      <c r="B120" s="12" t="s">
        <v>518</v>
      </c>
      <c r="C120" s="18"/>
      <c r="D120" s="50" t="s">
        <v>519</v>
      </c>
      <c r="E120" s="14"/>
      <c r="F120" s="14"/>
      <c r="G120" s="15"/>
      <c r="H120" s="14"/>
      <c r="I120" s="15" t="e">
        <f>+SUMIFS([1]FORECAST!$E:$E,[1]FORECAST!$C:$C,A120)</f>
        <v>#VALUE!</v>
      </c>
      <c r="J120" s="20">
        <f t="shared" si="3"/>
        <v>0</v>
      </c>
      <c r="K120" s="21">
        <f t="shared" si="4"/>
        <v>0</v>
      </c>
      <c r="L120" s="20">
        <f t="shared" si="5"/>
        <v>0</v>
      </c>
    </row>
    <row r="121" spans="1:12" x14ac:dyDescent="0.3">
      <c r="A121" s="18" t="s">
        <v>520</v>
      </c>
      <c r="B121" s="12" t="s">
        <v>521</v>
      </c>
      <c r="C121" s="18"/>
      <c r="D121" s="19" t="s">
        <v>522</v>
      </c>
      <c r="E121" s="14"/>
      <c r="F121" s="14"/>
      <c r="G121" s="15"/>
      <c r="H121" s="14"/>
      <c r="I121" s="15" t="e">
        <f>+SUMIFS([1]FORECAST!$E:$E,[1]FORECAST!$C:$C,A121)</f>
        <v>#VALUE!</v>
      </c>
      <c r="J121" s="20">
        <f t="shared" si="3"/>
        <v>0</v>
      </c>
      <c r="K121" s="21">
        <f t="shared" si="4"/>
        <v>0</v>
      </c>
      <c r="L121" s="20">
        <f t="shared" si="5"/>
        <v>0</v>
      </c>
    </row>
    <row r="122" spans="1:12" x14ac:dyDescent="0.3">
      <c r="A122" s="18" t="s">
        <v>523</v>
      </c>
      <c r="B122" s="12" t="s">
        <v>524</v>
      </c>
      <c r="C122" s="18"/>
      <c r="D122" s="19" t="s">
        <v>525</v>
      </c>
      <c r="E122" s="14"/>
      <c r="F122" s="14"/>
      <c r="G122" s="15"/>
      <c r="H122" s="14"/>
      <c r="I122" s="15" t="e">
        <f>+SUMIFS([1]FORECAST!$E:$E,[1]FORECAST!$C:$C,A122)</f>
        <v>#VALUE!</v>
      </c>
      <c r="J122" s="20">
        <f t="shared" si="3"/>
        <v>0</v>
      </c>
      <c r="K122" s="21">
        <f t="shared" si="4"/>
        <v>0</v>
      </c>
      <c r="L122" s="20">
        <f t="shared" si="5"/>
        <v>0</v>
      </c>
    </row>
    <row r="123" spans="1:12" x14ac:dyDescent="0.3">
      <c r="A123" s="18" t="s">
        <v>526</v>
      </c>
      <c r="B123" s="12" t="s">
        <v>527</v>
      </c>
      <c r="C123" s="18"/>
      <c r="D123" s="19" t="s">
        <v>528</v>
      </c>
      <c r="E123" s="14"/>
      <c r="F123" s="14"/>
      <c r="G123" s="15"/>
      <c r="H123" s="14"/>
      <c r="I123" s="15" t="e">
        <f>+SUMIFS([1]FORECAST!$E:$E,[1]FORECAST!$C:$C,A123)</f>
        <v>#VALUE!</v>
      </c>
      <c r="J123" s="20">
        <f t="shared" si="3"/>
        <v>0</v>
      </c>
      <c r="K123" s="21">
        <f t="shared" si="4"/>
        <v>0</v>
      </c>
      <c r="L123" s="20">
        <f t="shared" si="5"/>
        <v>0</v>
      </c>
    </row>
    <row r="124" spans="1:12" x14ac:dyDescent="0.3">
      <c r="A124" s="18" t="s">
        <v>529</v>
      </c>
      <c r="B124" s="12" t="s">
        <v>530</v>
      </c>
      <c r="C124" s="18"/>
      <c r="D124" s="19" t="s">
        <v>531</v>
      </c>
      <c r="E124" s="14"/>
      <c r="F124" s="14"/>
      <c r="G124" s="15"/>
      <c r="H124" s="14"/>
      <c r="I124" s="15" t="e">
        <f>+SUMIFS([1]FORECAST!$E:$E,[1]FORECAST!$C:$C,A124)</f>
        <v>#VALUE!</v>
      </c>
      <c r="J124" s="20">
        <f t="shared" si="3"/>
        <v>0</v>
      </c>
      <c r="K124" s="21">
        <f t="shared" si="4"/>
        <v>0</v>
      </c>
      <c r="L124" s="20">
        <f t="shared" si="5"/>
        <v>0</v>
      </c>
    </row>
    <row r="125" spans="1:12" x14ac:dyDescent="0.3">
      <c r="A125" s="18" t="s">
        <v>532</v>
      </c>
      <c r="B125" s="12" t="s">
        <v>533</v>
      </c>
      <c r="C125" s="18"/>
      <c r="D125" s="19" t="s">
        <v>534</v>
      </c>
      <c r="E125" s="14"/>
      <c r="F125" s="14"/>
      <c r="G125" s="15"/>
      <c r="H125" s="14"/>
      <c r="I125" s="15" t="e">
        <f>+SUMIFS([1]FORECAST!$E:$E,[1]FORECAST!$C:$C,A125)</f>
        <v>#VALUE!</v>
      </c>
      <c r="J125" s="20">
        <f t="shared" si="3"/>
        <v>0</v>
      </c>
      <c r="K125" s="21">
        <f t="shared" si="4"/>
        <v>0</v>
      </c>
      <c r="L125" s="20">
        <f t="shared" si="5"/>
        <v>0</v>
      </c>
    </row>
    <row r="126" spans="1:12" x14ac:dyDescent="0.3">
      <c r="A126" s="18" t="s">
        <v>535</v>
      </c>
      <c r="B126" s="12" t="s">
        <v>536</v>
      </c>
      <c r="C126" s="18"/>
      <c r="D126" s="19" t="s">
        <v>537</v>
      </c>
      <c r="E126" s="14"/>
      <c r="F126" s="14"/>
      <c r="G126" s="15"/>
      <c r="H126" s="14"/>
      <c r="I126" s="15" t="e">
        <f>+SUMIFS([1]FORECAST!$E:$E,[1]FORECAST!$C:$C,A126)</f>
        <v>#VALUE!</v>
      </c>
      <c r="J126" s="20">
        <f t="shared" si="3"/>
        <v>0</v>
      </c>
      <c r="K126" s="21">
        <f t="shared" si="4"/>
        <v>0</v>
      </c>
      <c r="L126" s="20">
        <f t="shared" si="5"/>
        <v>0</v>
      </c>
    </row>
    <row r="127" spans="1:12" x14ac:dyDescent="0.3">
      <c r="A127" s="18" t="s">
        <v>538</v>
      </c>
      <c r="B127" s="12" t="s">
        <v>539</v>
      </c>
      <c r="C127" s="18"/>
      <c r="D127" s="19" t="s">
        <v>540</v>
      </c>
      <c r="E127" s="14"/>
      <c r="F127" s="14"/>
      <c r="G127" s="15"/>
      <c r="H127" s="14"/>
      <c r="I127" s="15" t="e">
        <f>+SUMIFS([1]FORECAST!$E:$E,[1]FORECAST!$C:$C,A127)</f>
        <v>#VALUE!</v>
      </c>
      <c r="J127" s="20">
        <f t="shared" si="3"/>
        <v>0</v>
      </c>
      <c r="K127" s="21">
        <f t="shared" si="4"/>
        <v>0</v>
      </c>
      <c r="L127" s="20">
        <f t="shared" si="5"/>
        <v>0</v>
      </c>
    </row>
    <row r="128" spans="1:12" ht="15" thickBot="1" x14ac:dyDescent="0.35">
      <c r="A128" s="18" t="s">
        <v>541</v>
      </c>
      <c r="B128" s="12" t="s">
        <v>542</v>
      </c>
      <c r="C128" s="18"/>
      <c r="D128" s="19" t="s">
        <v>543</v>
      </c>
      <c r="E128" s="14"/>
      <c r="F128" s="14"/>
      <c r="G128" s="15"/>
      <c r="H128" s="14"/>
      <c r="I128" s="15" t="e">
        <f>+SUMIFS([1]FORECAST!$E:$E,[1]FORECAST!$C:$C,A128)</f>
        <v>#VALUE!</v>
      </c>
      <c r="J128" s="20">
        <f t="shared" si="3"/>
        <v>0</v>
      </c>
      <c r="K128" s="21">
        <f t="shared" si="4"/>
        <v>0</v>
      </c>
      <c r="L128" s="20">
        <f t="shared" si="5"/>
        <v>0</v>
      </c>
    </row>
    <row r="129" spans="1:12" ht="15" thickBot="1" x14ac:dyDescent="0.35">
      <c r="A129" s="55"/>
      <c r="B129" s="12" t="s">
        <v>544</v>
      </c>
      <c r="C129" s="55" t="s">
        <v>254</v>
      </c>
      <c r="D129" s="55" t="s">
        <v>545</v>
      </c>
      <c r="E129" s="57"/>
      <c r="F129" s="57"/>
      <c r="G129" s="57"/>
      <c r="H129" s="57"/>
      <c r="I129" s="57" t="e">
        <f>SUM(I120:I128)</f>
        <v>#VALUE!</v>
      </c>
      <c r="J129" s="31">
        <f t="shared" si="3"/>
        <v>0</v>
      </c>
      <c r="K129" s="32">
        <f t="shared" si="4"/>
        <v>0</v>
      </c>
      <c r="L129" s="31">
        <f t="shared" si="5"/>
        <v>0</v>
      </c>
    </row>
    <row r="130" spans="1:12" x14ac:dyDescent="0.3">
      <c r="A130" s="18" t="s">
        <v>546</v>
      </c>
      <c r="B130" s="12" t="s">
        <v>547</v>
      </c>
      <c r="C130" s="18"/>
      <c r="D130" s="19" t="s">
        <v>548</v>
      </c>
      <c r="E130" s="14"/>
      <c r="F130" s="14"/>
      <c r="G130" s="15"/>
      <c r="H130" s="14"/>
      <c r="I130" s="15" t="e">
        <f>+SUMIFS([1]FORECAST!$E:$E,[1]FORECAST!$C:$C,A130)</f>
        <v>#VALUE!</v>
      </c>
      <c r="J130" s="20">
        <f t="shared" ref="J130:J193" si="6">+(H130-F130)</f>
        <v>0</v>
      </c>
      <c r="K130" s="21">
        <f t="shared" ref="K130:K193" si="7">IFERROR(J130/F130,0)</f>
        <v>0</v>
      </c>
      <c r="L130" s="20">
        <f t="shared" ref="L130:L193" si="8">+H130-E130</f>
        <v>0</v>
      </c>
    </row>
    <row r="131" spans="1:12" x14ac:dyDescent="0.3">
      <c r="A131" s="18" t="s">
        <v>549</v>
      </c>
      <c r="B131" s="12" t="s">
        <v>550</v>
      </c>
      <c r="C131" s="18"/>
      <c r="D131" s="19" t="s">
        <v>551</v>
      </c>
      <c r="E131" s="14"/>
      <c r="F131" s="14"/>
      <c r="G131" s="15"/>
      <c r="H131" s="14"/>
      <c r="I131" s="15" t="e">
        <f>+SUMIFS([1]FORECAST!$E:$E,[1]FORECAST!$C:$C,A131)</f>
        <v>#VALUE!</v>
      </c>
      <c r="J131" s="20">
        <f t="shared" si="6"/>
        <v>0</v>
      </c>
      <c r="K131" s="21">
        <f t="shared" si="7"/>
        <v>0</v>
      </c>
      <c r="L131" s="20">
        <f t="shared" si="8"/>
        <v>0</v>
      </c>
    </row>
    <row r="132" spans="1:12" x14ac:dyDescent="0.3">
      <c r="A132" s="18" t="s">
        <v>552</v>
      </c>
      <c r="B132" s="12" t="s">
        <v>553</v>
      </c>
      <c r="C132" s="18"/>
      <c r="D132" s="19" t="s">
        <v>554</v>
      </c>
      <c r="E132" s="14"/>
      <c r="F132" s="14"/>
      <c r="G132" s="15"/>
      <c r="H132" s="14"/>
      <c r="I132" s="15" t="e">
        <f>+SUMIFS([1]FORECAST!$E:$E,[1]FORECAST!$C:$C,A132)</f>
        <v>#VALUE!</v>
      </c>
      <c r="J132" s="20">
        <f t="shared" si="6"/>
        <v>0</v>
      </c>
      <c r="K132" s="21">
        <f t="shared" si="7"/>
        <v>0</v>
      </c>
      <c r="L132" s="20">
        <f t="shared" si="8"/>
        <v>0</v>
      </c>
    </row>
    <row r="133" spans="1:12" x14ac:dyDescent="0.3">
      <c r="A133" s="18" t="s">
        <v>555</v>
      </c>
      <c r="B133" s="12" t="s">
        <v>556</v>
      </c>
      <c r="C133" s="18"/>
      <c r="D133" s="19" t="s">
        <v>557</v>
      </c>
      <c r="E133" s="14"/>
      <c r="F133" s="14"/>
      <c r="G133" s="15"/>
      <c r="H133" s="14"/>
      <c r="I133" s="15" t="e">
        <f>+SUMIFS([1]FORECAST!$E:$E,[1]FORECAST!$C:$C,A133)</f>
        <v>#VALUE!</v>
      </c>
      <c r="J133" s="20">
        <f t="shared" si="6"/>
        <v>0</v>
      </c>
      <c r="K133" s="21">
        <f t="shared" si="7"/>
        <v>0</v>
      </c>
      <c r="L133" s="20">
        <f t="shared" si="8"/>
        <v>0</v>
      </c>
    </row>
    <row r="134" spans="1:12" x14ac:dyDescent="0.3">
      <c r="A134" s="18" t="s">
        <v>558</v>
      </c>
      <c r="B134" s="12" t="s">
        <v>559</v>
      </c>
      <c r="C134" s="18"/>
      <c r="D134" s="19" t="s">
        <v>560</v>
      </c>
      <c r="E134" s="14"/>
      <c r="F134" s="14"/>
      <c r="G134" s="15"/>
      <c r="H134" s="14"/>
      <c r="I134" s="15" t="e">
        <f>+SUMIFS([1]FORECAST!$E:$E,[1]FORECAST!$C:$C,A134)</f>
        <v>#VALUE!</v>
      </c>
      <c r="J134" s="20">
        <f t="shared" si="6"/>
        <v>0</v>
      </c>
      <c r="K134" s="21">
        <f t="shared" si="7"/>
        <v>0</v>
      </c>
      <c r="L134" s="20">
        <f t="shared" si="8"/>
        <v>0</v>
      </c>
    </row>
    <row r="135" spans="1:12" x14ac:dyDescent="0.3">
      <c r="A135" s="18" t="s">
        <v>561</v>
      </c>
      <c r="B135" s="12" t="s">
        <v>562</v>
      </c>
      <c r="C135" s="18"/>
      <c r="D135" s="19" t="s">
        <v>563</v>
      </c>
      <c r="E135" s="14"/>
      <c r="F135" s="14"/>
      <c r="G135" s="15"/>
      <c r="H135" s="14"/>
      <c r="I135" s="15" t="e">
        <f>+SUMIFS([1]FORECAST!$E:$E,[1]FORECAST!$C:$C,A135)</f>
        <v>#VALUE!</v>
      </c>
      <c r="J135" s="20">
        <f t="shared" si="6"/>
        <v>0</v>
      </c>
      <c r="K135" s="21">
        <f t="shared" si="7"/>
        <v>0</v>
      </c>
      <c r="L135" s="20">
        <f t="shared" si="8"/>
        <v>0</v>
      </c>
    </row>
    <row r="136" spans="1:12" x14ac:dyDescent="0.3">
      <c r="A136" s="18" t="s">
        <v>564</v>
      </c>
      <c r="B136" s="12" t="s">
        <v>565</v>
      </c>
      <c r="C136" s="18"/>
      <c r="D136" s="19" t="s">
        <v>566</v>
      </c>
      <c r="E136" s="14"/>
      <c r="F136" s="14"/>
      <c r="G136" s="15"/>
      <c r="H136" s="14"/>
      <c r="I136" s="15" t="e">
        <f>+SUMIFS([1]FORECAST!$E:$E,[1]FORECAST!$C:$C,A136)</f>
        <v>#VALUE!</v>
      </c>
      <c r="J136" s="20">
        <f t="shared" si="6"/>
        <v>0</v>
      </c>
      <c r="K136" s="21">
        <f t="shared" si="7"/>
        <v>0</v>
      </c>
      <c r="L136" s="20">
        <f t="shared" si="8"/>
        <v>0</v>
      </c>
    </row>
    <row r="137" spans="1:12" x14ac:dyDescent="0.3">
      <c r="A137" s="18" t="s">
        <v>567</v>
      </c>
      <c r="B137" s="12" t="s">
        <v>568</v>
      </c>
      <c r="C137" s="18"/>
      <c r="D137" s="50" t="s">
        <v>569</v>
      </c>
      <c r="E137" s="14"/>
      <c r="F137" s="14"/>
      <c r="G137" s="15"/>
      <c r="H137" s="14"/>
      <c r="I137" s="15" t="e">
        <f>+SUMIFS([1]FORECAST!$E:$E,[1]FORECAST!$C:$C,A137)</f>
        <v>#VALUE!</v>
      </c>
      <c r="J137" s="20">
        <f t="shared" si="6"/>
        <v>0</v>
      </c>
      <c r="K137" s="21">
        <f t="shared" si="7"/>
        <v>0</v>
      </c>
      <c r="L137" s="20">
        <f t="shared" si="8"/>
        <v>0</v>
      </c>
    </row>
    <row r="138" spans="1:12" x14ac:dyDescent="0.3">
      <c r="A138" s="18" t="s">
        <v>570</v>
      </c>
      <c r="B138" s="12" t="s">
        <v>571</v>
      </c>
      <c r="C138" s="18"/>
      <c r="D138" s="19" t="s">
        <v>572</v>
      </c>
      <c r="E138" s="14"/>
      <c r="F138" s="14"/>
      <c r="G138" s="15"/>
      <c r="H138" s="14"/>
      <c r="I138" s="15" t="e">
        <f>+SUMIFS([1]FORECAST!$E:$E,[1]FORECAST!$C:$C,A138)</f>
        <v>#VALUE!</v>
      </c>
      <c r="J138" s="20">
        <f t="shared" si="6"/>
        <v>0</v>
      </c>
      <c r="K138" s="21">
        <f t="shared" si="7"/>
        <v>0</v>
      </c>
      <c r="L138" s="20">
        <f t="shared" si="8"/>
        <v>0</v>
      </c>
    </row>
    <row r="139" spans="1:12" x14ac:dyDescent="0.3">
      <c r="A139" s="18" t="s">
        <v>573</v>
      </c>
      <c r="B139" s="12" t="s">
        <v>574</v>
      </c>
      <c r="C139" s="18"/>
      <c r="D139" s="19" t="s">
        <v>575</v>
      </c>
      <c r="E139" s="14"/>
      <c r="F139" s="14"/>
      <c r="G139" s="15"/>
      <c r="H139" s="14"/>
      <c r="I139" s="15" t="e">
        <f>+SUMIFS([1]FORECAST!$E:$E,[1]FORECAST!$C:$C,A139)</f>
        <v>#VALUE!</v>
      </c>
      <c r="J139" s="20">
        <f t="shared" si="6"/>
        <v>0</v>
      </c>
      <c r="K139" s="21">
        <f t="shared" si="7"/>
        <v>0</v>
      </c>
      <c r="L139" s="20">
        <f t="shared" si="8"/>
        <v>0</v>
      </c>
    </row>
    <row r="140" spans="1:12" x14ac:dyDescent="0.3">
      <c r="A140" s="18" t="s">
        <v>576</v>
      </c>
      <c r="B140" s="12" t="s">
        <v>577</v>
      </c>
      <c r="C140" s="18"/>
      <c r="D140" s="19" t="s">
        <v>578</v>
      </c>
      <c r="E140" s="14"/>
      <c r="F140" s="14"/>
      <c r="G140" s="15"/>
      <c r="H140" s="14"/>
      <c r="I140" s="15" t="e">
        <f>+SUMIFS([1]FORECAST!$E:$E,[1]FORECAST!$C:$C,A140)</f>
        <v>#VALUE!</v>
      </c>
      <c r="J140" s="20">
        <f t="shared" si="6"/>
        <v>0</v>
      </c>
      <c r="K140" s="21">
        <f t="shared" si="7"/>
        <v>0</v>
      </c>
      <c r="L140" s="20">
        <f t="shared" si="8"/>
        <v>0</v>
      </c>
    </row>
    <row r="141" spans="1:12" ht="15" thickBot="1" x14ac:dyDescent="0.35">
      <c r="A141" s="18" t="s">
        <v>579</v>
      </c>
      <c r="B141" s="12" t="s">
        <v>580</v>
      </c>
      <c r="C141" s="18"/>
      <c r="D141" s="19" t="s">
        <v>581</v>
      </c>
      <c r="E141" s="14"/>
      <c r="F141" s="14"/>
      <c r="G141" s="15"/>
      <c r="H141" s="14"/>
      <c r="I141" s="15" t="e">
        <f>+SUMIFS([1]FORECAST!$E:$E,[1]FORECAST!$C:$C,A141)</f>
        <v>#VALUE!</v>
      </c>
      <c r="J141" s="20">
        <f t="shared" si="6"/>
        <v>0</v>
      </c>
      <c r="K141" s="21">
        <f t="shared" si="7"/>
        <v>0</v>
      </c>
      <c r="L141" s="20">
        <f t="shared" si="8"/>
        <v>0</v>
      </c>
    </row>
    <row r="142" spans="1:12" ht="15" thickBot="1" x14ac:dyDescent="0.35">
      <c r="A142" s="55"/>
      <c r="B142" s="12" t="s">
        <v>582</v>
      </c>
      <c r="C142" s="55" t="s">
        <v>254</v>
      </c>
      <c r="D142" s="58" t="s">
        <v>583</v>
      </c>
      <c r="E142" s="57"/>
      <c r="F142" s="57"/>
      <c r="G142" s="57"/>
      <c r="H142" s="57"/>
      <c r="I142" s="57" t="e">
        <f>SUM(I130:I141)</f>
        <v>#VALUE!</v>
      </c>
      <c r="J142" s="31">
        <f t="shared" si="6"/>
        <v>0</v>
      </c>
      <c r="K142" s="32">
        <f t="shared" si="7"/>
        <v>0</v>
      </c>
      <c r="L142" s="31">
        <f t="shared" si="8"/>
        <v>0</v>
      </c>
    </row>
    <row r="143" spans="1:12" ht="15" thickBot="1" x14ac:dyDescent="0.35">
      <c r="A143" s="40"/>
      <c r="B143" s="12" t="s">
        <v>584</v>
      </c>
      <c r="C143" s="40" t="s">
        <v>254</v>
      </c>
      <c r="D143" s="40" t="s">
        <v>585</v>
      </c>
      <c r="E143" s="41"/>
      <c r="F143" s="41"/>
      <c r="G143" s="41"/>
      <c r="H143" s="41"/>
      <c r="I143" s="41" t="e">
        <f>I110+I113+I119+I129+I142</f>
        <v>#VALUE!</v>
      </c>
      <c r="J143" s="25">
        <f t="shared" si="6"/>
        <v>0</v>
      </c>
      <c r="K143" s="42">
        <f t="shared" si="7"/>
        <v>0</v>
      </c>
      <c r="L143" s="25">
        <f t="shared" si="8"/>
        <v>0</v>
      </c>
    </row>
    <row r="144" spans="1:12" ht="15" thickBot="1" x14ac:dyDescent="0.35">
      <c r="A144" s="43"/>
      <c r="B144" s="12" t="s">
        <v>586</v>
      </c>
      <c r="C144" s="43" t="s">
        <v>254</v>
      </c>
      <c r="D144" s="43" t="s">
        <v>587</v>
      </c>
      <c r="E144" s="44"/>
      <c r="F144" s="44"/>
      <c r="G144" s="44"/>
      <c r="H144" s="44"/>
      <c r="I144" s="44" t="e">
        <f>I93+I110+I113+I119+I129+I142</f>
        <v>#VALUE!</v>
      </c>
      <c r="J144" s="25">
        <f t="shared" si="6"/>
        <v>0</v>
      </c>
      <c r="K144" s="45">
        <f t="shared" si="7"/>
        <v>0</v>
      </c>
      <c r="L144" s="25">
        <f t="shared" si="8"/>
        <v>0</v>
      </c>
    </row>
    <row r="145" spans="1:12" x14ac:dyDescent="0.3">
      <c r="A145" s="46"/>
      <c r="B145" s="12" t="s">
        <v>588</v>
      </c>
      <c r="C145" s="46" t="s">
        <v>254</v>
      </c>
      <c r="D145" s="46" t="s">
        <v>589</v>
      </c>
      <c r="E145" s="59"/>
      <c r="F145" s="59"/>
      <c r="G145" s="59"/>
      <c r="H145" s="59"/>
      <c r="I145" s="59" t="e">
        <f>+I144/I8</f>
        <v>#VALUE!</v>
      </c>
      <c r="J145" s="49">
        <f t="shared" si="6"/>
        <v>0</v>
      </c>
      <c r="K145" s="59">
        <f t="shared" si="7"/>
        <v>0</v>
      </c>
      <c r="L145" s="49">
        <f t="shared" si="8"/>
        <v>0</v>
      </c>
    </row>
    <row r="146" spans="1:12" x14ac:dyDescent="0.3">
      <c r="A146" s="18" t="s">
        <v>590</v>
      </c>
      <c r="B146" s="12" t="s">
        <v>591</v>
      </c>
      <c r="C146" s="18"/>
      <c r="D146" s="19" t="s">
        <v>592</v>
      </c>
      <c r="E146" s="14"/>
      <c r="F146" s="14"/>
      <c r="G146" s="15"/>
      <c r="H146" s="14"/>
      <c r="I146" s="15" t="e">
        <f>+SUMIFS([1]FORECAST!$E:$E,[1]FORECAST!$C:$C,A146)</f>
        <v>#VALUE!</v>
      </c>
      <c r="J146" s="20">
        <f t="shared" si="6"/>
        <v>0</v>
      </c>
      <c r="K146" s="21">
        <f t="shared" si="7"/>
        <v>0</v>
      </c>
      <c r="L146" s="20">
        <f t="shared" si="8"/>
        <v>0</v>
      </c>
    </row>
    <row r="147" spans="1:12" x14ac:dyDescent="0.3">
      <c r="A147" s="18" t="s">
        <v>593</v>
      </c>
      <c r="B147" s="12" t="s">
        <v>594</v>
      </c>
      <c r="C147" s="18" t="s">
        <v>449</v>
      </c>
      <c r="D147" s="19" t="s">
        <v>595</v>
      </c>
      <c r="E147" s="14"/>
      <c r="F147" s="14"/>
      <c r="G147" s="15"/>
      <c r="H147" s="14"/>
      <c r="I147" s="15" t="e">
        <f>+SUMIFS([1]FORECAST!$E:$E,[1]FORECAST!$C:$C,A147)</f>
        <v>#VALUE!</v>
      </c>
      <c r="J147" s="20">
        <f t="shared" si="6"/>
        <v>0</v>
      </c>
      <c r="K147" s="21">
        <f t="shared" si="7"/>
        <v>0</v>
      </c>
      <c r="L147" s="20">
        <f t="shared" si="8"/>
        <v>0</v>
      </c>
    </row>
    <row r="148" spans="1:12" x14ac:dyDescent="0.3">
      <c r="A148" s="18" t="s">
        <v>596</v>
      </c>
      <c r="B148" s="12" t="s">
        <v>597</v>
      </c>
      <c r="C148" s="18"/>
      <c r="D148" s="19" t="s">
        <v>598</v>
      </c>
      <c r="E148" s="14"/>
      <c r="F148" s="14"/>
      <c r="G148" s="15"/>
      <c r="H148" s="14"/>
      <c r="I148" s="15" t="e">
        <f>+SUMIFS([1]FORECAST!$E:$E,[1]FORECAST!$C:$C,A148)</f>
        <v>#VALUE!</v>
      </c>
      <c r="J148" s="20">
        <f t="shared" si="6"/>
        <v>0</v>
      </c>
      <c r="K148" s="21">
        <f t="shared" si="7"/>
        <v>0</v>
      </c>
      <c r="L148" s="20">
        <f t="shared" si="8"/>
        <v>0</v>
      </c>
    </row>
    <row r="149" spans="1:12" x14ac:dyDescent="0.3">
      <c r="A149" s="18" t="s">
        <v>599</v>
      </c>
      <c r="B149" s="12" t="s">
        <v>600</v>
      </c>
      <c r="C149" s="18"/>
      <c r="D149" s="19" t="s">
        <v>601</v>
      </c>
      <c r="E149" s="14"/>
      <c r="F149" s="14"/>
      <c r="G149" s="15"/>
      <c r="H149" s="14"/>
      <c r="I149" s="15" t="e">
        <f>+SUMIFS([1]FORECAST!$E:$E,[1]FORECAST!$C:$C,A149)</f>
        <v>#VALUE!</v>
      </c>
      <c r="J149" s="20">
        <f t="shared" si="6"/>
        <v>0</v>
      </c>
      <c r="K149" s="21">
        <f t="shared" si="7"/>
        <v>0</v>
      </c>
      <c r="L149" s="20">
        <f t="shared" si="8"/>
        <v>0</v>
      </c>
    </row>
    <row r="150" spans="1:12" ht="15" thickBot="1" x14ac:dyDescent="0.35">
      <c r="A150" s="18" t="s">
        <v>602</v>
      </c>
      <c r="B150" s="12" t="s">
        <v>603</v>
      </c>
      <c r="C150" s="18"/>
      <c r="D150" s="19" t="s">
        <v>604</v>
      </c>
      <c r="E150" s="14"/>
      <c r="F150" s="14"/>
      <c r="G150" s="15"/>
      <c r="H150" s="14"/>
      <c r="I150" s="15" t="e">
        <f>+SUMIFS([1]FORECAST!$E:$E,[1]FORECAST!$C:$C,A150)</f>
        <v>#VALUE!</v>
      </c>
      <c r="J150" s="20">
        <f t="shared" si="6"/>
        <v>0</v>
      </c>
      <c r="K150" s="21">
        <f t="shared" si="7"/>
        <v>0</v>
      </c>
      <c r="L150" s="20">
        <f t="shared" si="8"/>
        <v>0</v>
      </c>
    </row>
    <row r="151" spans="1:12" ht="15" thickBot="1" x14ac:dyDescent="0.35">
      <c r="A151" s="55"/>
      <c r="B151" s="12" t="s">
        <v>605</v>
      </c>
      <c r="C151" s="55" t="s">
        <v>254</v>
      </c>
      <c r="D151" s="55" t="s">
        <v>606</v>
      </c>
      <c r="E151" s="57"/>
      <c r="F151" s="57"/>
      <c r="G151" s="57"/>
      <c r="H151" s="57"/>
      <c r="I151" s="57" t="e">
        <f>SUM(I146:I150)</f>
        <v>#VALUE!</v>
      </c>
      <c r="J151" s="31">
        <f t="shared" si="6"/>
        <v>0</v>
      </c>
      <c r="K151" s="32">
        <f t="shared" si="7"/>
        <v>0</v>
      </c>
      <c r="L151" s="31">
        <f t="shared" si="8"/>
        <v>0</v>
      </c>
    </row>
    <row r="152" spans="1:12" x14ac:dyDescent="0.3">
      <c r="A152" s="18" t="s">
        <v>607</v>
      </c>
      <c r="B152" s="12" t="s">
        <v>608</v>
      </c>
      <c r="C152" s="18"/>
      <c r="D152" s="19" t="s">
        <v>609</v>
      </c>
      <c r="E152" s="14"/>
      <c r="F152" s="14"/>
      <c r="G152" s="15"/>
      <c r="H152" s="14"/>
      <c r="I152" s="15" t="e">
        <f>+SUMIFS([1]FORECAST!$E:$E,[1]FORECAST!$C:$C,A152)</f>
        <v>#VALUE!</v>
      </c>
      <c r="J152" s="20">
        <f t="shared" si="6"/>
        <v>0</v>
      </c>
      <c r="K152" s="21">
        <f t="shared" si="7"/>
        <v>0</v>
      </c>
      <c r="L152" s="20">
        <f t="shared" si="8"/>
        <v>0</v>
      </c>
    </row>
    <row r="153" spans="1:12" x14ac:dyDescent="0.3">
      <c r="A153" s="18" t="s">
        <v>610</v>
      </c>
      <c r="B153" s="12" t="s">
        <v>611</v>
      </c>
      <c r="C153" s="18"/>
      <c r="D153" s="19" t="s">
        <v>612</v>
      </c>
      <c r="E153" s="14"/>
      <c r="F153" s="14"/>
      <c r="G153" s="15"/>
      <c r="H153" s="14"/>
      <c r="I153" s="15" t="e">
        <f>+SUMIFS([1]FORECAST!$E:$E,[1]FORECAST!$C:$C,A153)</f>
        <v>#VALUE!</v>
      </c>
      <c r="J153" s="20">
        <f t="shared" si="6"/>
        <v>0</v>
      </c>
      <c r="K153" s="21">
        <f t="shared" si="7"/>
        <v>0</v>
      </c>
      <c r="L153" s="20">
        <f t="shared" si="8"/>
        <v>0</v>
      </c>
    </row>
    <row r="154" spans="1:12" x14ac:dyDescent="0.3">
      <c r="A154" s="18" t="s">
        <v>613</v>
      </c>
      <c r="B154" s="12" t="s">
        <v>614</v>
      </c>
      <c r="C154" s="18"/>
      <c r="D154" s="19" t="s">
        <v>615</v>
      </c>
      <c r="E154" s="14"/>
      <c r="F154" s="14"/>
      <c r="G154" s="15"/>
      <c r="H154" s="14"/>
      <c r="I154" s="15" t="e">
        <f>+SUMIFS([1]FORECAST!$E:$E,[1]FORECAST!$C:$C,A154)</f>
        <v>#VALUE!</v>
      </c>
      <c r="J154" s="20">
        <f t="shared" si="6"/>
        <v>0</v>
      </c>
      <c r="K154" s="21">
        <f t="shared" si="7"/>
        <v>0</v>
      </c>
      <c r="L154" s="20">
        <f t="shared" si="8"/>
        <v>0</v>
      </c>
    </row>
    <row r="155" spans="1:12" x14ac:dyDescent="0.3">
      <c r="A155" s="18" t="s">
        <v>616</v>
      </c>
      <c r="B155" s="12" t="s">
        <v>617</v>
      </c>
      <c r="C155" s="18"/>
      <c r="D155" s="19" t="s">
        <v>618</v>
      </c>
      <c r="E155" s="14"/>
      <c r="F155" s="14"/>
      <c r="G155" s="15"/>
      <c r="H155" s="14"/>
      <c r="I155" s="15" t="e">
        <f>+SUMIFS([1]FORECAST!$E:$E,[1]FORECAST!$C:$C,A155)</f>
        <v>#VALUE!</v>
      </c>
      <c r="J155" s="20">
        <f t="shared" si="6"/>
        <v>0</v>
      </c>
      <c r="K155" s="21">
        <f t="shared" si="7"/>
        <v>0</v>
      </c>
      <c r="L155" s="20">
        <f t="shared" si="8"/>
        <v>0</v>
      </c>
    </row>
    <row r="156" spans="1:12" x14ac:dyDescent="0.3">
      <c r="A156" s="18" t="s">
        <v>619</v>
      </c>
      <c r="B156" s="12" t="s">
        <v>620</v>
      </c>
      <c r="C156" s="18"/>
      <c r="D156" s="19" t="s">
        <v>621</v>
      </c>
      <c r="E156" s="14"/>
      <c r="F156" s="14"/>
      <c r="G156" s="15"/>
      <c r="H156" s="14"/>
      <c r="I156" s="15" t="e">
        <f>+SUMIFS([1]FORECAST!$E:$E,[1]FORECAST!$C:$C,A156)</f>
        <v>#VALUE!</v>
      </c>
      <c r="J156" s="20">
        <f t="shared" si="6"/>
        <v>0</v>
      </c>
      <c r="K156" s="21">
        <f t="shared" si="7"/>
        <v>0</v>
      </c>
      <c r="L156" s="20">
        <f t="shared" si="8"/>
        <v>0</v>
      </c>
    </row>
    <row r="157" spans="1:12" x14ac:dyDescent="0.3">
      <c r="A157" s="18" t="s">
        <v>622</v>
      </c>
      <c r="B157" s="12" t="s">
        <v>623</v>
      </c>
      <c r="C157" s="18"/>
      <c r="D157" s="19" t="s">
        <v>624</v>
      </c>
      <c r="E157" s="14"/>
      <c r="F157" s="14"/>
      <c r="G157" s="15"/>
      <c r="H157" s="14"/>
      <c r="I157" s="15" t="e">
        <f>+SUMIFS([1]FORECAST!$E:$E,[1]FORECAST!$C:$C,A157)</f>
        <v>#VALUE!</v>
      </c>
      <c r="J157" s="20">
        <f t="shared" si="6"/>
        <v>0</v>
      </c>
      <c r="K157" s="21">
        <f t="shared" si="7"/>
        <v>0</v>
      </c>
      <c r="L157" s="20">
        <f t="shared" si="8"/>
        <v>0</v>
      </c>
    </row>
    <row r="158" spans="1:12" x14ac:dyDescent="0.3">
      <c r="A158" s="18" t="s">
        <v>625</v>
      </c>
      <c r="B158" s="12" t="s">
        <v>626</v>
      </c>
      <c r="C158" s="18"/>
      <c r="D158" s="19" t="s">
        <v>627</v>
      </c>
      <c r="E158" s="14"/>
      <c r="F158" s="14"/>
      <c r="G158" s="15"/>
      <c r="H158" s="14"/>
      <c r="I158" s="15" t="e">
        <f>+SUMIFS([1]FORECAST!$E:$E,[1]FORECAST!$C:$C,A158)</f>
        <v>#VALUE!</v>
      </c>
      <c r="J158" s="20">
        <f t="shared" si="6"/>
        <v>0</v>
      </c>
      <c r="K158" s="21">
        <f t="shared" si="7"/>
        <v>0</v>
      </c>
      <c r="L158" s="20">
        <f t="shared" si="8"/>
        <v>0</v>
      </c>
    </row>
    <row r="159" spans="1:12" x14ac:dyDescent="0.3">
      <c r="A159" s="18" t="s">
        <v>628</v>
      </c>
      <c r="B159" s="12" t="s">
        <v>629</v>
      </c>
      <c r="C159" s="18"/>
      <c r="D159" s="19" t="s">
        <v>630</v>
      </c>
      <c r="E159" s="14"/>
      <c r="F159" s="14"/>
      <c r="G159" s="15"/>
      <c r="H159" s="14"/>
      <c r="I159" s="15" t="e">
        <f>+SUMIFS([1]FORECAST!$E:$E,[1]FORECAST!$C:$C,A159)</f>
        <v>#VALUE!</v>
      </c>
      <c r="J159" s="20">
        <f t="shared" si="6"/>
        <v>0</v>
      </c>
      <c r="K159" s="21">
        <f t="shared" si="7"/>
        <v>0</v>
      </c>
      <c r="L159" s="20">
        <f t="shared" si="8"/>
        <v>0</v>
      </c>
    </row>
    <row r="160" spans="1:12" x14ac:dyDescent="0.3">
      <c r="A160" s="18" t="s">
        <v>631</v>
      </c>
      <c r="B160" s="12" t="s">
        <v>632</v>
      </c>
      <c r="C160" s="18"/>
      <c r="D160" s="19" t="s">
        <v>633</v>
      </c>
      <c r="E160" s="14"/>
      <c r="F160" s="14"/>
      <c r="G160" s="15"/>
      <c r="H160" s="14"/>
      <c r="I160" s="15" t="e">
        <f>+SUMIFS([1]FORECAST!$E:$E,[1]FORECAST!$C:$C,A160)</f>
        <v>#VALUE!</v>
      </c>
      <c r="J160" s="20">
        <f t="shared" si="6"/>
        <v>0</v>
      </c>
      <c r="K160" s="21">
        <f t="shared" si="7"/>
        <v>0</v>
      </c>
      <c r="L160" s="20">
        <f t="shared" si="8"/>
        <v>0</v>
      </c>
    </row>
    <row r="161" spans="1:12" x14ac:dyDescent="0.3">
      <c r="A161" s="18" t="s">
        <v>634</v>
      </c>
      <c r="B161" s="12" t="s">
        <v>635</v>
      </c>
      <c r="C161" s="18"/>
      <c r="D161" s="19" t="s">
        <v>636</v>
      </c>
      <c r="E161" s="14"/>
      <c r="F161" s="14"/>
      <c r="G161" s="15"/>
      <c r="H161" s="14"/>
      <c r="I161" s="15" t="e">
        <f>+SUMIFS([1]FORECAST!$E:$E,[1]FORECAST!$C:$C,A161)</f>
        <v>#VALUE!</v>
      </c>
      <c r="J161" s="20">
        <f t="shared" si="6"/>
        <v>0</v>
      </c>
      <c r="K161" s="21">
        <f t="shared" si="7"/>
        <v>0</v>
      </c>
      <c r="L161" s="20">
        <f t="shared" si="8"/>
        <v>0</v>
      </c>
    </row>
    <row r="162" spans="1:12" x14ac:dyDescent="0.3">
      <c r="A162" s="18" t="s">
        <v>637</v>
      </c>
      <c r="B162" s="12" t="s">
        <v>638</v>
      </c>
      <c r="C162" s="18"/>
      <c r="D162" s="19" t="s">
        <v>639</v>
      </c>
      <c r="E162" s="14"/>
      <c r="F162" s="14"/>
      <c r="G162" s="15"/>
      <c r="H162" s="14"/>
      <c r="I162" s="15" t="e">
        <f>+SUMIFS([1]FORECAST!$E:$E,[1]FORECAST!$C:$C,A162)</f>
        <v>#VALUE!</v>
      </c>
      <c r="J162" s="20">
        <f t="shared" si="6"/>
        <v>0</v>
      </c>
      <c r="K162" s="21">
        <f t="shared" si="7"/>
        <v>0</v>
      </c>
      <c r="L162" s="20">
        <f t="shared" si="8"/>
        <v>0</v>
      </c>
    </row>
    <row r="163" spans="1:12" x14ac:dyDescent="0.3">
      <c r="A163" s="18" t="s">
        <v>640</v>
      </c>
      <c r="B163" s="12" t="s">
        <v>641</v>
      </c>
      <c r="C163" s="18"/>
      <c r="D163" s="19" t="s">
        <v>642</v>
      </c>
      <c r="E163" s="14"/>
      <c r="F163" s="14"/>
      <c r="G163" s="15"/>
      <c r="H163" s="14"/>
      <c r="I163" s="15" t="e">
        <f>+SUMIFS([1]FORECAST!$E:$E,[1]FORECAST!$C:$C,A163)</f>
        <v>#VALUE!</v>
      </c>
      <c r="J163" s="20">
        <f t="shared" si="6"/>
        <v>0</v>
      </c>
      <c r="K163" s="21">
        <f t="shared" si="7"/>
        <v>0</v>
      </c>
      <c r="L163" s="20">
        <f t="shared" si="8"/>
        <v>0</v>
      </c>
    </row>
    <row r="164" spans="1:12" ht="15" thickBot="1" x14ac:dyDescent="0.35">
      <c r="A164" s="18" t="s">
        <v>643</v>
      </c>
      <c r="B164" s="12" t="s">
        <v>644</v>
      </c>
      <c r="C164" s="18"/>
      <c r="D164" s="19" t="s">
        <v>645</v>
      </c>
      <c r="E164" s="14"/>
      <c r="F164" s="14"/>
      <c r="G164" s="15"/>
      <c r="H164" s="14"/>
      <c r="I164" s="15" t="e">
        <f>+SUMIFS([1]FORECAST!$E:$E,[1]FORECAST!$C:$C,A164)</f>
        <v>#VALUE!</v>
      </c>
      <c r="J164" s="20">
        <f t="shared" si="6"/>
        <v>0</v>
      </c>
      <c r="K164" s="21">
        <f t="shared" si="7"/>
        <v>0</v>
      </c>
      <c r="L164" s="20">
        <f t="shared" si="8"/>
        <v>0</v>
      </c>
    </row>
    <row r="165" spans="1:12" ht="21" thickBot="1" x14ac:dyDescent="0.35">
      <c r="A165" s="55"/>
      <c r="B165" s="12" t="s">
        <v>646</v>
      </c>
      <c r="C165" s="55" t="s">
        <v>174</v>
      </c>
      <c r="D165" s="55" t="s">
        <v>647</v>
      </c>
      <c r="E165" s="57"/>
      <c r="F165" s="57"/>
      <c r="G165" s="57"/>
      <c r="H165" s="57"/>
      <c r="I165" s="57" t="e">
        <f>SUM(I152:I164)</f>
        <v>#VALUE!</v>
      </c>
      <c r="J165" s="31">
        <f t="shared" si="6"/>
        <v>0</v>
      </c>
      <c r="K165" s="32">
        <f t="shared" si="7"/>
        <v>0</v>
      </c>
      <c r="L165" s="31">
        <f t="shared" si="8"/>
        <v>0</v>
      </c>
    </row>
    <row r="166" spans="1:12" x14ac:dyDescent="0.3">
      <c r="A166" s="18" t="s">
        <v>648</v>
      </c>
      <c r="B166" s="12" t="s">
        <v>649</v>
      </c>
      <c r="C166" s="18"/>
      <c r="D166" s="19" t="s">
        <v>650</v>
      </c>
      <c r="E166" s="14"/>
      <c r="F166" s="14"/>
      <c r="G166" s="15"/>
      <c r="H166" s="14"/>
      <c r="I166" s="15" t="e">
        <f>+SUMIFS([1]FORECAST!$E:$E,[1]FORECAST!$C:$C,A166)</f>
        <v>#VALUE!</v>
      </c>
      <c r="J166" s="20">
        <f t="shared" si="6"/>
        <v>0</v>
      </c>
      <c r="K166" s="21">
        <f t="shared" si="7"/>
        <v>0</v>
      </c>
      <c r="L166" s="20">
        <f t="shared" si="8"/>
        <v>0</v>
      </c>
    </row>
    <row r="167" spans="1:12" x14ac:dyDescent="0.3">
      <c r="A167" s="18" t="s">
        <v>651</v>
      </c>
      <c r="B167" s="12" t="s">
        <v>652</v>
      </c>
      <c r="C167" s="18"/>
      <c r="D167" s="19" t="s">
        <v>653</v>
      </c>
      <c r="E167" s="14"/>
      <c r="F167" s="14"/>
      <c r="G167" s="15"/>
      <c r="H167" s="14"/>
      <c r="I167" s="15" t="e">
        <f>+SUMIFS([1]FORECAST!$E:$E,[1]FORECAST!$C:$C,A167)</f>
        <v>#VALUE!</v>
      </c>
      <c r="J167" s="20">
        <f t="shared" si="6"/>
        <v>0</v>
      </c>
      <c r="K167" s="21">
        <f t="shared" si="7"/>
        <v>0</v>
      </c>
      <c r="L167" s="20">
        <f t="shared" si="8"/>
        <v>0</v>
      </c>
    </row>
    <row r="168" spans="1:12" x14ac:dyDescent="0.3">
      <c r="A168" s="18" t="s">
        <v>654</v>
      </c>
      <c r="B168" s="12" t="s">
        <v>655</v>
      </c>
      <c r="C168" s="18"/>
      <c r="D168" s="19" t="s">
        <v>656</v>
      </c>
      <c r="E168" s="14"/>
      <c r="F168" s="14"/>
      <c r="G168" s="15"/>
      <c r="H168" s="14"/>
      <c r="I168" s="15" t="e">
        <f>+SUMIFS([1]FORECAST!$E:$E,[1]FORECAST!$C:$C,A168)</f>
        <v>#VALUE!</v>
      </c>
      <c r="J168" s="20">
        <f t="shared" si="6"/>
        <v>0</v>
      </c>
      <c r="K168" s="21">
        <f t="shared" si="7"/>
        <v>0</v>
      </c>
      <c r="L168" s="20">
        <f t="shared" si="8"/>
        <v>0</v>
      </c>
    </row>
    <row r="169" spans="1:12" ht="15" thickBot="1" x14ac:dyDescent="0.35">
      <c r="A169" s="18" t="s">
        <v>657</v>
      </c>
      <c r="B169" s="12" t="s">
        <v>658</v>
      </c>
      <c r="C169" s="18"/>
      <c r="D169" s="19" t="s">
        <v>659</v>
      </c>
      <c r="E169" s="14"/>
      <c r="F169" s="14"/>
      <c r="G169" s="15"/>
      <c r="H169" s="14"/>
      <c r="I169" s="15" t="e">
        <f>+SUMIFS([1]FORECAST!$E:$E,[1]FORECAST!$C:$C,A169)</f>
        <v>#VALUE!</v>
      </c>
      <c r="J169" s="20">
        <f t="shared" si="6"/>
        <v>0</v>
      </c>
      <c r="K169" s="21">
        <f t="shared" si="7"/>
        <v>0</v>
      </c>
      <c r="L169" s="20">
        <f t="shared" si="8"/>
        <v>0</v>
      </c>
    </row>
    <row r="170" spans="1:12" ht="15" thickBot="1" x14ac:dyDescent="0.35">
      <c r="A170" s="55"/>
      <c r="B170" s="12" t="s">
        <v>660</v>
      </c>
      <c r="C170" s="55" t="s">
        <v>174</v>
      </c>
      <c r="D170" s="55" t="s">
        <v>661</v>
      </c>
      <c r="E170" s="57"/>
      <c r="F170" s="57"/>
      <c r="G170" s="57"/>
      <c r="H170" s="57"/>
      <c r="I170" s="57" t="e">
        <f>I166+I167+I168+I169</f>
        <v>#VALUE!</v>
      </c>
      <c r="J170" s="31">
        <f t="shared" si="6"/>
        <v>0</v>
      </c>
      <c r="K170" s="32">
        <f t="shared" si="7"/>
        <v>0</v>
      </c>
      <c r="L170" s="31">
        <f t="shared" si="8"/>
        <v>0</v>
      </c>
    </row>
    <row r="171" spans="1:12" x14ac:dyDescent="0.3">
      <c r="A171" s="18" t="s">
        <v>662</v>
      </c>
      <c r="B171" s="12" t="s">
        <v>663</v>
      </c>
      <c r="C171" s="18"/>
      <c r="D171" s="19" t="s">
        <v>664</v>
      </c>
      <c r="E171" s="14"/>
      <c r="F171" s="14"/>
      <c r="G171" s="15"/>
      <c r="H171" s="14"/>
      <c r="I171" s="15" t="e">
        <f>+SUMIFS([1]FORECAST!$E:$E,[1]FORECAST!$C:$C,A171)</f>
        <v>#VALUE!</v>
      </c>
      <c r="J171" s="20">
        <f t="shared" si="6"/>
        <v>0</v>
      </c>
      <c r="K171" s="21">
        <f t="shared" si="7"/>
        <v>0</v>
      </c>
      <c r="L171" s="20">
        <f t="shared" si="8"/>
        <v>0</v>
      </c>
    </row>
    <row r="172" spans="1:12" x14ac:dyDescent="0.3">
      <c r="A172" s="18" t="s">
        <v>665</v>
      </c>
      <c r="B172" s="12" t="s">
        <v>666</v>
      </c>
      <c r="C172" s="18"/>
      <c r="D172" s="19" t="s">
        <v>667</v>
      </c>
      <c r="E172" s="14"/>
      <c r="F172" s="14"/>
      <c r="G172" s="15"/>
      <c r="H172" s="14"/>
      <c r="I172" s="15" t="e">
        <f>+SUMIFS([1]FORECAST!$E:$E,[1]FORECAST!$C:$C,A172)</f>
        <v>#VALUE!</v>
      </c>
      <c r="J172" s="20">
        <f t="shared" si="6"/>
        <v>0</v>
      </c>
      <c r="K172" s="21">
        <f t="shared" si="7"/>
        <v>0</v>
      </c>
      <c r="L172" s="20">
        <f t="shared" si="8"/>
        <v>0</v>
      </c>
    </row>
    <row r="173" spans="1:12" x14ac:dyDescent="0.3">
      <c r="A173" s="18" t="s">
        <v>668</v>
      </c>
      <c r="B173" s="12" t="s">
        <v>669</v>
      </c>
      <c r="C173" s="18"/>
      <c r="D173" s="19" t="s">
        <v>670</v>
      </c>
      <c r="E173" s="14"/>
      <c r="F173" s="14"/>
      <c r="G173" s="15"/>
      <c r="H173" s="14"/>
      <c r="I173" s="15" t="e">
        <f>+SUMIFS([1]FORECAST!$E:$E,[1]FORECAST!$C:$C,A173)</f>
        <v>#VALUE!</v>
      </c>
      <c r="J173" s="20">
        <f t="shared" si="6"/>
        <v>0</v>
      </c>
      <c r="K173" s="21">
        <f t="shared" si="7"/>
        <v>0</v>
      </c>
      <c r="L173" s="20">
        <f t="shared" si="8"/>
        <v>0</v>
      </c>
    </row>
    <row r="174" spans="1:12" x14ac:dyDescent="0.3">
      <c r="A174" s="18" t="s">
        <v>671</v>
      </c>
      <c r="B174" s="12" t="s">
        <v>672</v>
      </c>
      <c r="C174" s="18"/>
      <c r="D174" s="19" t="s">
        <v>673</v>
      </c>
      <c r="E174" s="14"/>
      <c r="F174" s="14"/>
      <c r="G174" s="15"/>
      <c r="H174" s="14"/>
      <c r="I174" s="15" t="e">
        <f>+SUMIFS([1]FORECAST!$E:$E,[1]FORECAST!$C:$C,A174)</f>
        <v>#VALUE!</v>
      </c>
      <c r="J174" s="20">
        <f t="shared" si="6"/>
        <v>0</v>
      </c>
      <c r="K174" s="21">
        <f t="shared" si="7"/>
        <v>0</v>
      </c>
      <c r="L174" s="20">
        <f t="shared" si="8"/>
        <v>0</v>
      </c>
    </row>
    <row r="175" spans="1:12" x14ac:dyDescent="0.3">
      <c r="A175" s="18" t="s">
        <v>674</v>
      </c>
      <c r="B175" s="12" t="s">
        <v>675</v>
      </c>
      <c r="C175" s="18"/>
      <c r="D175" s="19" t="s">
        <v>676</v>
      </c>
      <c r="E175" s="14"/>
      <c r="F175" s="14"/>
      <c r="G175" s="15"/>
      <c r="H175" s="14"/>
      <c r="I175" s="15" t="e">
        <f>+SUMIFS([1]FORECAST!$E:$E,[1]FORECAST!$C:$C,A175)</f>
        <v>#VALUE!</v>
      </c>
      <c r="J175" s="20">
        <f t="shared" si="6"/>
        <v>0</v>
      </c>
      <c r="K175" s="21">
        <f t="shared" si="7"/>
        <v>0</v>
      </c>
      <c r="L175" s="20">
        <f t="shared" si="8"/>
        <v>0</v>
      </c>
    </row>
    <row r="176" spans="1:12" x14ac:dyDescent="0.3">
      <c r="A176" s="18" t="s">
        <v>677</v>
      </c>
      <c r="B176" s="12" t="s">
        <v>678</v>
      </c>
      <c r="C176" s="18"/>
      <c r="D176" s="19" t="s">
        <v>679</v>
      </c>
      <c r="E176" s="14"/>
      <c r="F176" s="14"/>
      <c r="G176" s="15"/>
      <c r="H176" s="14"/>
      <c r="I176" s="15" t="e">
        <f>+SUMIFS([1]FORECAST!$E:$E,[1]FORECAST!$C:$C,A176)</f>
        <v>#VALUE!</v>
      </c>
      <c r="J176" s="20">
        <f t="shared" si="6"/>
        <v>0</v>
      </c>
      <c r="K176" s="21">
        <f t="shared" si="7"/>
        <v>0</v>
      </c>
      <c r="L176" s="20">
        <f t="shared" si="8"/>
        <v>0</v>
      </c>
    </row>
    <row r="177" spans="1:12" x14ac:dyDescent="0.3">
      <c r="A177" s="18" t="s">
        <v>680</v>
      </c>
      <c r="B177" s="12" t="s">
        <v>681</v>
      </c>
      <c r="C177" s="18"/>
      <c r="D177" s="19" t="s">
        <v>682</v>
      </c>
      <c r="E177" s="14"/>
      <c r="F177" s="14"/>
      <c r="G177" s="15"/>
      <c r="H177" s="14"/>
      <c r="I177" s="15" t="e">
        <f>+SUMIFS([1]FORECAST!$E:$E,[1]FORECAST!$C:$C,A177)</f>
        <v>#VALUE!</v>
      </c>
      <c r="J177" s="20">
        <f t="shared" si="6"/>
        <v>0</v>
      </c>
      <c r="K177" s="21">
        <f t="shared" si="7"/>
        <v>0</v>
      </c>
      <c r="L177" s="20">
        <f t="shared" si="8"/>
        <v>0</v>
      </c>
    </row>
    <row r="178" spans="1:12" x14ac:dyDescent="0.3">
      <c r="A178" s="18" t="s">
        <v>683</v>
      </c>
      <c r="B178" s="12" t="s">
        <v>684</v>
      </c>
      <c r="C178" s="18"/>
      <c r="D178" s="19" t="s">
        <v>685</v>
      </c>
      <c r="E178" s="14"/>
      <c r="F178" s="14"/>
      <c r="G178" s="15"/>
      <c r="H178" s="14"/>
      <c r="I178" s="15" t="e">
        <f>+SUMIFS([1]FORECAST!$E:$E,[1]FORECAST!$C:$C,A178)</f>
        <v>#VALUE!</v>
      </c>
      <c r="J178" s="20">
        <f t="shared" si="6"/>
        <v>0</v>
      </c>
      <c r="K178" s="21">
        <f t="shared" si="7"/>
        <v>0</v>
      </c>
      <c r="L178" s="20">
        <f t="shared" si="8"/>
        <v>0</v>
      </c>
    </row>
    <row r="179" spans="1:12" x14ac:dyDescent="0.3">
      <c r="A179" s="18" t="s">
        <v>686</v>
      </c>
      <c r="B179" s="12" t="s">
        <v>687</v>
      </c>
      <c r="C179" s="18"/>
      <c r="D179" s="19" t="s">
        <v>688</v>
      </c>
      <c r="E179" s="14"/>
      <c r="F179" s="14"/>
      <c r="G179" s="15"/>
      <c r="H179" s="14"/>
      <c r="I179" s="15" t="e">
        <f>+SUMIFS([1]FORECAST!$E:$E,[1]FORECAST!$C:$C,A179)</f>
        <v>#VALUE!</v>
      </c>
      <c r="J179" s="20">
        <f t="shared" si="6"/>
        <v>0</v>
      </c>
      <c r="K179" s="21">
        <f t="shared" si="7"/>
        <v>0</v>
      </c>
      <c r="L179" s="20">
        <f t="shared" si="8"/>
        <v>0</v>
      </c>
    </row>
    <row r="180" spans="1:12" x14ac:dyDescent="0.3">
      <c r="A180" s="18" t="s">
        <v>689</v>
      </c>
      <c r="B180" s="12" t="s">
        <v>690</v>
      </c>
      <c r="C180" s="18"/>
      <c r="D180" s="19" t="s">
        <v>691</v>
      </c>
      <c r="E180" s="14"/>
      <c r="F180" s="14"/>
      <c r="G180" s="15"/>
      <c r="H180" s="14"/>
      <c r="I180" s="15" t="e">
        <f>+SUMIFS([1]FORECAST!$E:$E,[1]FORECAST!$C:$C,A180)</f>
        <v>#VALUE!</v>
      </c>
      <c r="J180" s="20">
        <f t="shared" si="6"/>
        <v>0</v>
      </c>
      <c r="K180" s="21">
        <f t="shared" si="7"/>
        <v>0</v>
      </c>
      <c r="L180" s="20">
        <f t="shared" si="8"/>
        <v>0</v>
      </c>
    </row>
    <row r="181" spans="1:12" x14ac:dyDescent="0.3">
      <c r="A181" s="18" t="s">
        <v>692</v>
      </c>
      <c r="B181" s="12" t="s">
        <v>693</v>
      </c>
      <c r="C181" s="18"/>
      <c r="D181" s="19" t="s">
        <v>694</v>
      </c>
      <c r="E181" s="14"/>
      <c r="F181" s="14"/>
      <c r="G181" s="15"/>
      <c r="H181" s="14"/>
      <c r="I181" s="15" t="e">
        <f>+SUMIFS([1]FORECAST!$E:$E,[1]FORECAST!$C:$C,A181)</f>
        <v>#VALUE!</v>
      </c>
      <c r="J181" s="20">
        <f t="shared" si="6"/>
        <v>0</v>
      </c>
      <c r="K181" s="21">
        <f t="shared" si="7"/>
        <v>0</v>
      </c>
      <c r="L181" s="20">
        <f t="shared" si="8"/>
        <v>0</v>
      </c>
    </row>
    <row r="182" spans="1:12" x14ac:dyDescent="0.3">
      <c r="A182" s="18" t="s">
        <v>695</v>
      </c>
      <c r="B182" s="12" t="s">
        <v>696</v>
      </c>
      <c r="C182" s="18"/>
      <c r="D182" s="19" t="s">
        <v>697</v>
      </c>
      <c r="E182" s="14"/>
      <c r="F182" s="14"/>
      <c r="G182" s="15"/>
      <c r="H182" s="14"/>
      <c r="I182" s="15" t="e">
        <f>+SUMIFS([1]FORECAST!$E:$E,[1]FORECAST!$C:$C,A182)</f>
        <v>#VALUE!</v>
      </c>
      <c r="J182" s="20">
        <f t="shared" si="6"/>
        <v>0</v>
      </c>
      <c r="K182" s="21">
        <f t="shared" si="7"/>
        <v>0</v>
      </c>
      <c r="L182" s="20">
        <f t="shared" si="8"/>
        <v>0</v>
      </c>
    </row>
    <row r="183" spans="1:12" ht="15" thickBot="1" x14ac:dyDescent="0.35">
      <c r="A183" s="18" t="s">
        <v>698</v>
      </c>
      <c r="B183" s="12" t="s">
        <v>699</v>
      </c>
      <c r="C183" s="18"/>
      <c r="D183" s="19" t="s">
        <v>700</v>
      </c>
      <c r="E183" s="14"/>
      <c r="F183" s="14"/>
      <c r="G183" s="15"/>
      <c r="H183" s="14"/>
      <c r="I183" s="15" t="e">
        <f>+SUMIFS([1]FORECAST!$E:$E,[1]FORECAST!$C:$C,A183)</f>
        <v>#VALUE!</v>
      </c>
      <c r="J183" s="20">
        <f t="shared" si="6"/>
        <v>0</v>
      </c>
      <c r="K183" s="21">
        <f t="shared" si="7"/>
        <v>0</v>
      </c>
      <c r="L183" s="20">
        <f t="shared" si="8"/>
        <v>0</v>
      </c>
    </row>
    <row r="184" spans="1:12" ht="21" thickBot="1" x14ac:dyDescent="0.35">
      <c r="A184" s="55"/>
      <c r="B184" s="12" t="s">
        <v>701</v>
      </c>
      <c r="C184" s="55" t="s">
        <v>174</v>
      </c>
      <c r="D184" s="55" t="s">
        <v>702</v>
      </c>
      <c r="E184" s="57"/>
      <c r="F184" s="57"/>
      <c r="G184" s="57"/>
      <c r="H184" s="57"/>
      <c r="I184" s="57" t="e">
        <f>SUM(I171:I183)</f>
        <v>#VALUE!</v>
      </c>
      <c r="J184" s="31">
        <f t="shared" si="6"/>
        <v>0</v>
      </c>
      <c r="K184" s="32">
        <f t="shared" si="7"/>
        <v>0</v>
      </c>
      <c r="L184" s="31">
        <f t="shared" si="8"/>
        <v>0</v>
      </c>
    </row>
    <row r="185" spans="1:12" ht="15" thickBot="1" x14ac:dyDescent="0.35">
      <c r="A185" s="43"/>
      <c r="B185" s="12" t="s">
        <v>703</v>
      </c>
      <c r="C185" s="43" t="s">
        <v>254</v>
      </c>
      <c r="D185" s="43" t="s">
        <v>704</v>
      </c>
      <c r="E185" s="44"/>
      <c r="F185" s="44"/>
      <c r="G185" s="44"/>
      <c r="H185" s="44"/>
      <c r="I185" s="44" t="e">
        <f>I144+I151+I170+I184+I165</f>
        <v>#VALUE!</v>
      </c>
      <c r="J185" s="25">
        <f t="shared" si="6"/>
        <v>0</v>
      </c>
      <c r="K185" s="45">
        <f t="shared" si="7"/>
        <v>0</v>
      </c>
      <c r="L185" s="25">
        <f t="shared" si="8"/>
        <v>0</v>
      </c>
    </row>
    <row r="186" spans="1:12" x14ac:dyDescent="0.3">
      <c r="A186" s="18" t="s">
        <v>705</v>
      </c>
      <c r="B186" s="12" t="s">
        <v>706</v>
      </c>
      <c r="C186" s="18"/>
      <c r="D186" s="19" t="s">
        <v>707</v>
      </c>
      <c r="E186" s="14"/>
      <c r="F186" s="14"/>
      <c r="G186" s="15"/>
      <c r="H186" s="14"/>
      <c r="I186" s="15" t="e">
        <f>+SUMIFS([1]FORECAST!$E:$E,[1]FORECAST!$C:$C,A186)</f>
        <v>#VALUE!</v>
      </c>
      <c r="J186" s="20">
        <f t="shared" si="6"/>
        <v>0</v>
      </c>
      <c r="K186" s="21">
        <f t="shared" si="7"/>
        <v>0</v>
      </c>
      <c r="L186" s="20">
        <f t="shared" si="8"/>
        <v>0</v>
      </c>
    </row>
    <row r="187" spans="1:12" x14ac:dyDescent="0.3">
      <c r="A187" s="18" t="s">
        <v>708</v>
      </c>
      <c r="B187" s="12" t="s">
        <v>709</v>
      </c>
      <c r="C187" s="18"/>
      <c r="D187" s="19" t="s">
        <v>710</v>
      </c>
      <c r="E187" s="14"/>
      <c r="F187" s="14"/>
      <c r="G187" s="15"/>
      <c r="H187" s="14"/>
      <c r="I187" s="15" t="e">
        <f>+SUMIFS([1]FORECAST!$E:$E,[1]FORECAST!$C:$C,A187)</f>
        <v>#VALUE!</v>
      </c>
      <c r="J187" s="20">
        <f t="shared" si="6"/>
        <v>0</v>
      </c>
      <c r="K187" s="21">
        <f t="shared" si="7"/>
        <v>0</v>
      </c>
      <c r="L187" s="20">
        <f t="shared" si="8"/>
        <v>0</v>
      </c>
    </row>
    <row r="188" spans="1:12" x14ac:dyDescent="0.3">
      <c r="A188" s="18" t="s">
        <v>711</v>
      </c>
      <c r="B188" s="12" t="s">
        <v>712</v>
      </c>
      <c r="C188" s="18"/>
      <c r="D188" s="19" t="s">
        <v>713</v>
      </c>
      <c r="E188" s="14"/>
      <c r="F188" s="14"/>
      <c r="G188" s="15"/>
      <c r="H188" s="14"/>
      <c r="I188" s="15" t="e">
        <f>+SUMIFS([1]FORECAST!$E:$E,[1]FORECAST!$C:$C,A188)</f>
        <v>#VALUE!</v>
      </c>
      <c r="J188" s="20">
        <f t="shared" si="6"/>
        <v>0</v>
      </c>
      <c r="K188" s="21">
        <f t="shared" si="7"/>
        <v>0</v>
      </c>
      <c r="L188" s="20">
        <f t="shared" si="8"/>
        <v>0</v>
      </c>
    </row>
    <row r="189" spans="1:12" x14ac:dyDescent="0.3">
      <c r="A189" s="18" t="s">
        <v>714</v>
      </c>
      <c r="B189" s="12" t="s">
        <v>715</v>
      </c>
      <c r="C189" s="18"/>
      <c r="D189" s="19" t="s">
        <v>716</v>
      </c>
      <c r="E189" s="14"/>
      <c r="F189" s="14"/>
      <c r="G189" s="15"/>
      <c r="H189" s="14"/>
      <c r="I189" s="15" t="e">
        <f>+SUMIFS([1]FORECAST!$E:$E,[1]FORECAST!$C:$C,A189)</f>
        <v>#VALUE!</v>
      </c>
      <c r="J189" s="20">
        <f t="shared" si="6"/>
        <v>0</v>
      </c>
      <c r="K189" s="21">
        <f t="shared" si="7"/>
        <v>0</v>
      </c>
      <c r="L189" s="20">
        <f t="shared" si="8"/>
        <v>0</v>
      </c>
    </row>
    <row r="190" spans="1:12" x14ac:dyDescent="0.3">
      <c r="A190" s="18" t="s">
        <v>717</v>
      </c>
      <c r="B190" s="12" t="s">
        <v>718</v>
      </c>
      <c r="C190" s="18"/>
      <c r="D190" s="19" t="s">
        <v>719</v>
      </c>
      <c r="E190" s="14"/>
      <c r="F190" s="14"/>
      <c r="G190" s="15"/>
      <c r="H190" s="14"/>
      <c r="I190" s="15" t="e">
        <f>+SUMIFS([1]FORECAST!$E:$E,[1]FORECAST!$C:$C,A190)</f>
        <v>#VALUE!</v>
      </c>
      <c r="J190" s="20">
        <f t="shared" si="6"/>
        <v>0</v>
      </c>
      <c r="K190" s="21">
        <f t="shared" si="7"/>
        <v>0</v>
      </c>
      <c r="L190" s="20">
        <f t="shared" si="8"/>
        <v>0</v>
      </c>
    </row>
    <row r="191" spans="1:12" x14ac:dyDescent="0.3">
      <c r="A191" s="18" t="s">
        <v>720</v>
      </c>
      <c r="B191" s="12" t="s">
        <v>721</v>
      </c>
      <c r="C191" s="18"/>
      <c r="D191" s="19" t="s">
        <v>722</v>
      </c>
      <c r="E191" s="14"/>
      <c r="F191" s="14"/>
      <c r="G191" s="15"/>
      <c r="H191" s="14"/>
      <c r="I191" s="15" t="e">
        <f>+SUMIFS([1]FORECAST!$E:$E,[1]FORECAST!$C:$C,A191)</f>
        <v>#VALUE!</v>
      </c>
      <c r="J191" s="20">
        <f t="shared" si="6"/>
        <v>0</v>
      </c>
      <c r="K191" s="21">
        <f t="shared" si="7"/>
        <v>0</v>
      </c>
      <c r="L191" s="20">
        <f t="shared" si="8"/>
        <v>0</v>
      </c>
    </row>
    <row r="192" spans="1:12" x14ac:dyDescent="0.3">
      <c r="A192" s="18" t="s">
        <v>723</v>
      </c>
      <c r="B192" s="12" t="s">
        <v>724</v>
      </c>
      <c r="C192" s="18"/>
      <c r="D192" s="19" t="s">
        <v>725</v>
      </c>
      <c r="E192" s="14"/>
      <c r="F192" s="14"/>
      <c r="G192" s="15"/>
      <c r="H192" s="14"/>
      <c r="I192" s="15" t="e">
        <f>+SUMIFS([1]FORECAST!$E:$E,[1]FORECAST!$C:$C,A192)</f>
        <v>#VALUE!</v>
      </c>
      <c r="J192" s="20">
        <f t="shared" si="6"/>
        <v>0</v>
      </c>
      <c r="K192" s="21">
        <f t="shared" si="7"/>
        <v>0</v>
      </c>
      <c r="L192" s="20">
        <f t="shared" si="8"/>
        <v>0</v>
      </c>
    </row>
    <row r="193" spans="1:12" x14ac:dyDescent="0.3">
      <c r="A193" s="18" t="s">
        <v>726</v>
      </c>
      <c r="B193" s="12" t="s">
        <v>727</v>
      </c>
      <c r="C193" s="18"/>
      <c r="D193" s="19" t="s">
        <v>728</v>
      </c>
      <c r="E193" s="14"/>
      <c r="F193" s="14"/>
      <c r="G193" s="15"/>
      <c r="H193" s="14"/>
      <c r="I193" s="15" t="e">
        <f>+SUMIFS([1]FORECAST!$E:$E,[1]FORECAST!$C:$C,A193)</f>
        <v>#VALUE!</v>
      </c>
      <c r="J193" s="20">
        <f t="shared" si="6"/>
        <v>0</v>
      </c>
      <c r="K193" s="21">
        <f t="shared" si="7"/>
        <v>0</v>
      </c>
      <c r="L193" s="20">
        <f t="shared" si="8"/>
        <v>0</v>
      </c>
    </row>
    <row r="194" spans="1:12" x14ac:dyDescent="0.3">
      <c r="A194" s="18" t="s">
        <v>729</v>
      </c>
      <c r="B194" s="12" t="s">
        <v>730</v>
      </c>
      <c r="C194" s="18"/>
      <c r="D194" s="19" t="s">
        <v>731</v>
      </c>
      <c r="E194" s="14"/>
      <c r="F194" s="14"/>
      <c r="G194" s="15"/>
      <c r="H194" s="14"/>
      <c r="I194" s="15" t="e">
        <f>+SUMIFS([1]FORECAST!$E:$E,[1]FORECAST!$C:$C,A194)</f>
        <v>#VALUE!</v>
      </c>
      <c r="J194" s="20">
        <f t="shared" ref="J194:J251" si="9">+(H194-F194)</f>
        <v>0</v>
      </c>
      <c r="K194" s="21">
        <f t="shared" ref="K194:K251" si="10">IFERROR(J194/F194,0)</f>
        <v>0</v>
      </c>
      <c r="L194" s="20">
        <f t="shared" ref="L194:L251" si="11">+H194-E194</f>
        <v>0</v>
      </c>
    </row>
    <row r="195" spans="1:12" x14ac:dyDescent="0.3">
      <c r="A195" s="18" t="s">
        <v>732</v>
      </c>
      <c r="B195" s="12" t="s">
        <v>733</v>
      </c>
      <c r="C195" s="18"/>
      <c r="D195" s="19" t="s">
        <v>734</v>
      </c>
      <c r="E195" s="14"/>
      <c r="F195" s="14"/>
      <c r="G195" s="15"/>
      <c r="H195" s="14"/>
      <c r="I195" s="15" t="e">
        <f>+SUMIFS([1]FORECAST!$E:$E,[1]FORECAST!$C:$C,A195)</f>
        <v>#VALUE!</v>
      </c>
      <c r="J195" s="20">
        <f t="shared" si="9"/>
        <v>0</v>
      </c>
      <c r="K195" s="21">
        <f t="shared" si="10"/>
        <v>0</v>
      </c>
      <c r="L195" s="20">
        <f t="shared" si="11"/>
        <v>0</v>
      </c>
    </row>
    <row r="196" spans="1:12" x14ac:dyDescent="0.3">
      <c r="A196" s="18" t="s">
        <v>735</v>
      </c>
      <c r="B196" s="12" t="s">
        <v>736</v>
      </c>
      <c r="C196" s="18"/>
      <c r="D196" s="19" t="s">
        <v>737</v>
      </c>
      <c r="E196" s="14"/>
      <c r="F196" s="14"/>
      <c r="G196" s="15"/>
      <c r="H196" s="14"/>
      <c r="I196" s="15" t="e">
        <f>+SUMIFS([1]FORECAST!$E:$E,[1]FORECAST!$C:$C,A196)</f>
        <v>#VALUE!</v>
      </c>
      <c r="J196" s="20">
        <f t="shared" si="9"/>
        <v>0</v>
      </c>
      <c r="K196" s="21">
        <f t="shared" si="10"/>
        <v>0</v>
      </c>
      <c r="L196" s="20">
        <f t="shared" si="11"/>
        <v>0</v>
      </c>
    </row>
    <row r="197" spans="1:12" x14ac:dyDescent="0.3">
      <c r="A197" s="18" t="s">
        <v>738</v>
      </c>
      <c r="B197" s="12" t="s">
        <v>739</v>
      </c>
      <c r="C197" s="18"/>
      <c r="D197" s="19" t="s">
        <v>740</v>
      </c>
      <c r="E197" s="14"/>
      <c r="F197" s="14"/>
      <c r="G197" s="15"/>
      <c r="H197" s="14"/>
      <c r="I197" s="15" t="e">
        <f>+SUMIFS([1]FORECAST!$E:$E,[1]FORECAST!$C:$C,A197)</f>
        <v>#VALUE!</v>
      </c>
      <c r="J197" s="20">
        <f t="shared" si="9"/>
        <v>0</v>
      </c>
      <c r="K197" s="21">
        <f t="shared" si="10"/>
        <v>0</v>
      </c>
      <c r="L197" s="20">
        <f t="shared" si="11"/>
        <v>0</v>
      </c>
    </row>
    <row r="198" spans="1:12" x14ac:dyDescent="0.3">
      <c r="A198" s="18" t="s">
        <v>741</v>
      </c>
      <c r="B198" s="12" t="s">
        <v>742</v>
      </c>
      <c r="C198" s="18"/>
      <c r="D198" s="19" t="s">
        <v>743</v>
      </c>
      <c r="E198" s="14"/>
      <c r="F198" s="14"/>
      <c r="G198" s="15"/>
      <c r="H198" s="14"/>
      <c r="I198" s="15" t="e">
        <f>+SUMIFS([1]FORECAST!$E:$E,[1]FORECAST!$C:$C,A198)</f>
        <v>#VALUE!</v>
      </c>
      <c r="J198" s="20">
        <f t="shared" si="9"/>
        <v>0</v>
      </c>
      <c r="K198" s="21">
        <f t="shared" si="10"/>
        <v>0</v>
      </c>
      <c r="L198" s="20">
        <f t="shared" si="11"/>
        <v>0</v>
      </c>
    </row>
    <row r="199" spans="1:12" ht="15" thickBot="1" x14ac:dyDescent="0.35">
      <c r="A199" s="18" t="s">
        <v>744</v>
      </c>
      <c r="B199" s="12" t="s">
        <v>745</v>
      </c>
      <c r="C199" s="18"/>
      <c r="D199" s="19" t="s">
        <v>746</v>
      </c>
      <c r="E199" s="14"/>
      <c r="F199" s="14"/>
      <c r="G199" s="15"/>
      <c r="H199" s="14"/>
      <c r="I199" s="15" t="e">
        <f>+SUMIFS([1]FORECAST!$E:$E,[1]FORECAST!$C:$C,A199)</f>
        <v>#VALUE!</v>
      </c>
      <c r="J199" s="20">
        <f t="shared" si="9"/>
        <v>0</v>
      </c>
      <c r="K199" s="21">
        <f t="shared" si="10"/>
        <v>0</v>
      </c>
      <c r="L199" s="20">
        <f t="shared" si="11"/>
        <v>0</v>
      </c>
    </row>
    <row r="200" spans="1:12" ht="15" thickBot="1" x14ac:dyDescent="0.35">
      <c r="A200" s="55"/>
      <c r="B200" s="12" t="s">
        <v>747</v>
      </c>
      <c r="C200" s="55" t="s">
        <v>254</v>
      </c>
      <c r="D200" s="55" t="s">
        <v>748</v>
      </c>
      <c r="E200" s="57"/>
      <c r="F200" s="57"/>
      <c r="G200" s="57"/>
      <c r="H200" s="57"/>
      <c r="I200" s="57" t="e">
        <f>SUM(I186:I199)</f>
        <v>#VALUE!</v>
      </c>
      <c r="J200" s="31">
        <f t="shared" si="9"/>
        <v>0</v>
      </c>
      <c r="K200" s="32">
        <f t="shared" si="10"/>
        <v>0</v>
      </c>
      <c r="L200" s="31">
        <f t="shared" si="11"/>
        <v>0</v>
      </c>
    </row>
    <row r="201" spans="1:12" x14ac:dyDescent="0.3">
      <c r="A201" s="18" t="s">
        <v>749</v>
      </c>
      <c r="B201" s="12" t="s">
        <v>750</v>
      </c>
      <c r="C201" s="18"/>
      <c r="D201" s="19" t="s">
        <v>751</v>
      </c>
      <c r="E201" s="14"/>
      <c r="F201" s="14"/>
      <c r="G201" s="15"/>
      <c r="H201" s="14"/>
      <c r="I201" s="15" t="e">
        <f>+SUMIFS([1]FORECAST!$E:$E,[1]FORECAST!$C:$C,A201)</f>
        <v>#VALUE!</v>
      </c>
      <c r="J201" s="20">
        <f t="shared" si="9"/>
        <v>0</v>
      </c>
      <c r="K201" s="21">
        <f t="shared" si="10"/>
        <v>0</v>
      </c>
      <c r="L201" s="20">
        <f t="shared" si="11"/>
        <v>0</v>
      </c>
    </row>
    <row r="202" spans="1:12" x14ac:dyDescent="0.3">
      <c r="A202" s="18" t="s">
        <v>752</v>
      </c>
      <c r="B202" s="12" t="s">
        <v>753</v>
      </c>
      <c r="C202" s="18"/>
      <c r="D202" s="19" t="s">
        <v>754</v>
      </c>
      <c r="E202" s="14"/>
      <c r="F202" s="14"/>
      <c r="G202" s="15"/>
      <c r="H202" s="14"/>
      <c r="I202" s="15" t="e">
        <f>+SUMIFS([1]FORECAST!$E:$E,[1]FORECAST!$C:$C,A202)</f>
        <v>#VALUE!</v>
      </c>
      <c r="J202" s="20">
        <f t="shared" si="9"/>
        <v>0</v>
      </c>
      <c r="K202" s="21">
        <f t="shared" si="10"/>
        <v>0</v>
      </c>
      <c r="L202" s="20">
        <f t="shared" si="11"/>
        <v>0</v>
      </c>
    </row>
    <row r="203" spans="1:12" x14ac:dyDescent="0.3">
      <c r="A203" s="18" t="s">
        <v>755</v>
      </c>
      <c r="B203" s="12" t="s">
        <v>756</v>
      </c>
      <c r="C203" s="18"/>
      <c r="D203" s="19" t="s">
        <v>757</v>
      </c>
      <c r="E203" s="14"/>
      <c r="F203" s="14"/>
      <c r="G203" s="15"/>
      <c r="H203" s="14"/>
      <c r="I203" s="15" t="e">
        <f>+SUMIFS([1]FORECAST!$E:$E,[1]FORECAST!$C:$C,A203)</f>
        <v>#VALUE!</v>
      </c>
      <c r="J203" s="20">
        <f t="shared" si="9"/>
        <v>0</v>
      </c>
      <c r="K203" s="21">
        <f t="shared" si="10"/>
        <v>0</v>
      </c>
      <c r="L203" s="20">
        <f t="shared" si="11"/>
        <v>0</v>
      </c>
    </row>
    <row r="204" spans="1:12" x14ac:dyDescent="0.3">
      <c r="A204" s="18" t="s">
        <v>758</v>
      </c>
      <c r="B204" s="12" t="s">
        <v>759</v>
      </c>
      <c r="C204" s="18"/>
      <c r="D204" s="19" t="s">
        <v>760</v>
      </c>
      <c r="E204" s="14"/>
      <c r="F204" s="14"/>
      <c r="G204" s="15"/>
      <c r="H204" s="14"/>
      <c r="I204" s="15" t="e">
        <f>+SUMIFS([1]FORECAST!$E:$E,[1]FORECAST!$C:$C,A204)</f>
        <v>#VALUE!</v>
      </c>
      <c r="J204" s="20">
        <f t="shared" si="9"/>
        <v>0</v>
      </c>
      <c r="K204" s="21">
        <f t="shared" si="10"/>
        <v>0</v>
      </c>
      <c r="L204" s="20">
        <f t="shared" si="11"/>
        <v>0</v>
      </c>
    </row>
    <row r="205" spans="1:12" x14ac:dyDescent="0.3">
      <c r="A205" s="18" t="s">
        <v>761</v>
      </c>
      <c r="B205" s="12" t="s">
        <v>762</v>
      </c>
      <c r="C205" s="18" t="s">
        <v>449</v>
      </c>
      <c r="D205" s="19" t="s">
        <v>763</v>
      </c>
      <c r="E205" s="14"/>
      <c r="F205" s="14"/>
      <c r="G205" s="15"/>
      <c r="H205" s="14"/>
      <c r="I205" s="15" t="e">
        <f>+SUMIFS([1]FORECAST!$E:$E,[1]FORECAST!$C:$C,A205)</f>
        <v>#VALUE!</v>
      </c>
      <c r="J205" s="20">
        <f t="shared" si="9"/>
        <v>0</v>
      </c>
      <c r="K205" s="21">
        <f t="shared" si="10"/>
        <v>0</v>
      </c>
      <c r="L205" s="20">
        <f t="shared" si="11"/>
        <v>0</v>
      </c>
    </row>
    <row r="206" spans="1:12" x14ac:dyDescent="0.3">
      <c r="A206" s="18" t="s">
        <v>764</v>
      </c>
      <c r="B206" s="12" t="s">
        <v>765</v>
      </c>
      <c r="C206" s="18"/>
      <c r="D206" s="19" t="s">
        <v>766</v>
      </c>
      <c r="E206" s="14"/>
      <c r="F206" s="14"/>
      <c r="G206" s="15"/>
      <c r="H206" s="14"/>
      <c r="I206" s="15" t="e">
        <f>+SUMIFS([1]FORECAST!$E:$E,[1]FORECAST!$C:$C,A206)</f>
        <v>#VALUE!</v>
      </c>
      <c r="J206" s="20">
        <f t="shared" si="9"/>
        <v>0</v>
      </c>
      <c r="K206" s="21">
        <f t="shared" si="10"/>
        <v>0</v>
      </c>
      <c r="L206" s="20">
        <f t="shared" si="11"/>
        <v>0</v>
      </c>
    </row>
    <row r="207" spans="1:12" x14ac:dyDescent="0.3">
      <c r="A207" s="18" t="s">
        <v>767</v>
      </c>
      <c r="B207" s="12" t="s">
        <v>768</v>
      </c>
      <c r="C207" s="18" t="s">
        <v>449</v>
      </c>
      <c r="D207" s="19" t="s">
        <v>769</v>
      </c>
      <c r="E207" s="14"/>
      <c r="F207" s="14"/>
      <c r="G207" s="15"/>
      <c r="H207" s="14"/>
      <c r="I207" s="15" t="e">
        <f>+SUMIFS([1]FORECAST!$E:$E,[1]FORECAST!$C:$C,A207)</f>
        <v>#VALUE!</v>
      </c>
      <c r="J207" s="20">
        <f t="shared" si="9"/>
        <v>0</v>
      </c>
      <c r="K207" s="21">
        <f t="shared" si="10"/>
        <v>0</v>
      </c>
      <c r="L207" s="20">
        <f t="shared" si="11"/>
        <v>0</v>
      </c>
    </row>
    <row r="208" spans="1:12" x14ac:dyDescent="0.3">
      <c r="A208" s="18" t="s">
        <v>770</v>
      </c>
      <c r="B208" s="12" t="s">
        <v>771</v>
      </c>
      <c r="C208" s="18"/>
      <c r="D208" s="19" t="s">
        <v>772</v>
      </c>
      <c r="E208" s="14"/>
      <c r="F208" s="14"/>
      <c r="G208" s="15"/>
      <c r="H208" s="14"/>
      <c r="I208" s="15" t="e">
        <f>+SUMIFS([1]FORECAST!$E:$E,[1]FORECAST!$C:$C,A208)</f>
        <v>#VALUE!</v>
      </c>
      <c r="J208" s="20">
        <f t="shared" si="9"/>
        <v>0</v>
      </c>
      <c r="K208" s="21">
        <f t="shared" si="10"/>
        <v>0</v>
      </c>
      <c r="L208" s="20">
        <f t="shared" si="11"/>
        <v>0</v>
      </c>
    </row>
    <row r="209" spans="1:12" x14ac:dyDescent="0.3">
      <c r="A209" s="18" t="s">
        <v>773</v>
      </c>
      <c r="B209" s="12" t="s">
        <v>774</v>
      </c>
      <c r="C209" s="18"/>
      <c r="D209" s="19" t="s">
        <v>775</v>
      </c>
      <c r="E209" s="14"/>
      <c r="F209" s="14"/>
      <c r="G209" s="15"/>
      <c r="H209" s="14"/>
      <c r="I209" s="15" t="e">
        <f>+SUMIFS([1]FORECAST!$E:$E,[1]FORECAST!$C:$C,A209)</f>
        <v>#VALUE!</v>
      </c>
      <c r="J209" s="20">
        <f t="shared" si="9"/>
        <v>0</v>
      </c>
      <c r="K209" s="21">
        <f t="shared" si="10"/>
        <v>0</v>
      </c>
      <c r="L209" s="20">
        <f t="shared" si="11"/>
        <v>0</v>
      </c>
    </row>
    <row r="210" spans="1:12" x14ac:dyDescent="0.3">
      <c r="A210" s="18" t="s">
        <v>776</v>
      </c>
      <c r="B210" s="12" t="s">
        <v>777</v>
      </c>
      <c r="C210" s="18"/>
      <c r="D210" s="19" t="s">
        <v>778</v>
      </c>
      <c r="E210" s="14"/>
      <c r="F210" s="14"/>
      <c r="G210" s="15"/>
      <c r="H210" s="14"/>
      <c r="I210" s="15" t="e">
        <f>+SUMIFS([1]FORECAST!$E:$E,[1]FORECAST!$C:$C,A210)</f>
        <v>#VALUE!</v>
      </c>
      <c r="J210" s="20">
        <f t="shared" si="9"/>
        <v>0</v>
      </c>
      <c r="K210" s="21">
        <f t="shared" si="10"/>
        <v>0</v>
      </c>
      <c r="L210" s="20">
        <f t="shared" si="11"/>
        <v>0</v>
      </c>
    </row>
    <row r="211" spans="1:12" x14ac:dyDescent="0.3">
      <c r="A211" s="18" t="s">
        <v>779</v>
      </c>
      <c r="B211" s="12" t="s">
        <v>780</v>
      </c>
      <c r="C211" s="18"/>
      <c r="D211" s="19" t="s">
        <v>781</v>
      </c>
      <c r="E211" s="14"/>
      <c r="F211" s="14"/>
      <c r="G211" s="15"/>
      <c r="H211" s="14"/>
      <c r="I211" s="15" t="e">
        <f>+SUMIFS([1]FORECAST!$E:$E,[1]FORECAST!$C:$C,A211)</f>
        <v>#VALUE!</v>
      </c>
      <c r="J211" s="20">
        <f t="shared" si="9"/>
        <v>0</v>
      </c>
      <c r="K211" s="21">
        <f t="shared" si="10"/>
        <v>0</v>
      </c>
      <c r="L211" s="20">
        <f t="shared" si="11"/>
        <v>0</v>
      </c>
    </row>
    <row r="212" spans="1:12" x14ac:dyDescent="0.3">
      <c r="A212" s="18" t="s">
        <v>782</v>
      </c>
      <c r="B212" s="12" t="s">
        <v>783</v>
      </c>
      <c r="C212" s="18"/>
      <c r="D212" s="19" t="s">
        <v>784</v>
      </c>
      <c r="E212" s="14"/>
      <c r="F212" s="14"/>
      <c r="G212" s="15"/>
      <c r="H212" s="14"/>
      <c r="I212" s="15" t="e">
        <f>+SUMIFS([1]FORECAST!$E:$E,[1]FORECAST!$C:$C,A212)</f>
        <v>#VALUE!</v>
      </c>
      <c r="J212" s="20">
        <f t="shared" si="9"/>
        <v>0</v>
      </c>
      <c r="K212" s="21">
        <f t="shared" si="10"/>
        <v>0</v>
      </c>
      <c r="L212" s="20">
        <f t="shared" si="11"/>
        <v>0</v>
      </c>
    </row>
    <row r="213" spans="1:12" x14ac:dyDescent="0.3">
      <c r="A213" s="18" t="s">
        <v>785</v>
      </c>
      <c r="B213" s="12" t="s">
        <v>786</v>
      </c>
      <c r="C213" s="18" t="s">
        <v>449</v>
      </c>
      <c r="D213" s="19" t="s">
        <v>787</v>
      </c>
      <c r="E213" s="14"/>
      <c r="F213" s="14"/>
      <c r="G213" s="15"/>
      <c r="H213" s="14"/>
      <c r="I213" s="15" t="e">
        <f>+SUMIFS([1]FORECAST!$E:$E,[1]FORECAST!$C:$C,A213)</f>
        <v>#VALUE!</v>
      </c>
      <c r="J213" s="20">
        <f t="shared" si="9"/>
        <v>0</v>
      </c>
      <c r="K213" s="21">
        <f t="shared" si="10"/>
        <v>0</v>
      </c>
      <c r="L213" s="20">
        <f t="shared" si="11"/>
        <v>0</v>
      </c>
    </row>
    <row r="214" spans="1:12" x14ac:dyDescent="0.3">
      <c r="A214" s="18" t="s">
        <v>788</v>
      </c>
      <c r="B214" s="12" t="s">
        <v>789</v>
      </c>
      <c r="C214" s="18"/>
      <c r="D214" s="19" t="s">
        <v>790</v>
      </c>
      <c r="E214" s="14"/>
      <c r="F214" s="14"/>
      <c r="G214" s="15"/>
      <c r="H214" s="14"/>
      <c r="I214" s="15" t="e">
        <f>+SUMIFS([1]FORECAST!$E:$E,[1]FORECAST!$C:$C,A214)</f>
        <v>#VALUE!</v>
      </c>
      <c r="J214" s="20">
        <f t="shared" si="9"/>
        <v>0</v>
      </c>
      <c r="K214" s="21">
        <f t="shared" si="10"/>
        <v>0</v>
      </c>
      <c r="L214" s="20">
        <f t="shared" si="11"/>
        <v>0</v>
      </c>
    </row>
    <row r="215" spans="1:12" ht="15" thickBot="1" x14ac:dyDescent="0.35">
      <c r="A215" s="18" t="s">
        <v>791</v>
      </c>
      <c r="B215" s="12" t="s">
        <v>792</v>
      </c>
      <c r="C215" s="18"/>
      <c r="D215" s="19" t="s">
        <v>793</v>
      </c>
      <c r="E215" s="14"/>
      <c r="F215" s="14"/>
      <c r="G215" s="15"/>
      <c r="H215" s="14"/>
      <c r="I215" s="15" t="e">
        <f>+SUMIFS([1]FORECAST!$E:$E,[1]FORECAST!$C:$C,A215)</f>
        <v>#VALUE!</v>
      </c>
      <c r="J215" s="20">
        <f t="shared" si="9"/>
        <v>0</v>
      </c>
      <c r="K215" s="21">
        <f t="shared" si="10"/>
        <v>0</v>
      </c>
      <c r="L215" s="20">
        <f t="shared" si="11"/>
        <v>0</v>
      </c>
    </row>
    <row r="216" spans="1:12" ht="15" thickBot="1" x14ac:dyDescent="0.35">
      <c r="A216" s="55"/>
      <c r="B216" s="12" t="s">
        <v>794</v>
      </c>
      <c r="C216" s="55" t="s">
        <v>254</v>
      </c>
      <c r="D216" s="55" t="s">
        <v>795</v>
      </c>
      <c r="E216" s="57"/>
      <c r="F216" s="57"/>
      <c r="G216" s="57"/>
      <c r="H216" s="57"/>
      <c r="I216" s="57" t="e">
        <f>SUM(I201:I215)</f>
        <v>#VALUE!</v>
      </c>
      <c r="J216" s="31">
        <f t="shared" si="9"/>
        <v>0</v>
      </c>
      <c r="K216" s="32">
        <f t="shared" si="10"/>
        <v>0</v>
      </c>
      <c r="L216" s="31">
        <f t="shared" si="11"/>
        <v>0</v>
      </c>
    </row>
    <row r="217" spans="1:12" ht="15" thickBot="1" x14ac:dyDescent="0.35">
      <c r="A217" s="43"/>
      <c r="B217" s="12" t="s">
        <v>796</v>
      </c>
      <c r="C217" s="43" t="s">
        <v>254</v>
      </c>
      <c r="D217" s="43" t="s">
        <v>797</v>
      </c>
      <c r="E217" s="44"/>
      <c r="F217" s="44"/>
      <c r="G217" s="44"/>
      <c r="H217" s="44"/>
      <c r="I217" s="44" t="e">
        <f>I200+I216</f>
        <v>#VALUE!</v>
      </c>
      <c r="J217" s="25">
        <f t="shared" si="9"/>
        <v>0</v>
      </c>
      <c r="K217" s="45">
        <f t="shared" si="10"/>
        <v>0</v>
      </c>
      <c r="L217" s="25">
        <f t="shared" si="11"/>
        <v>0</v>
      </c>
    </row>
    <row r="218" spans="1:12" x14ac:dyDescent="0.3">
      <c r="A218" s="18" t="s">
        <v>798</v>
      </c>
      <c r="B218" s="12" t="s">
        <v>799</v>
      </c>
      <c r="C218" s="18"/>
      <c r="D218" s="19" t="s">
        <v>800</v>
      </c>
      <c r="E218" s="14"/>
      <c r="F218" s="14"/>
      <c r="G218" s="15"/>
      <c r="H218" s="14"/>
      <c r="I218" s="15" t="e">
        <f>+SUMIFS([1]FORECAST!$E:$E,[1]FORECAST!$C:$C,A218)</f>
        <v>#VALUE!</v>
      </c>
      <c r="J218" s="20">
        <f t="shared" si="9"/>
        <v>0</v>
      </c>
      <c r="K218" s="21">
        <f t="shared" si="10"/>
        <v>0</v>
      </c>
      <c r="L218" s="20">
        <f t="shared" si="11"/>
        <v>0</v>
      </c>
    </row>
    <row r="219" spans="1:12" x14ac:dyDescent="0.3">
      <c r="A219" s="18" t="s">
        <v>801</v>
      </c>
      <c r="B219" s="12" t="s">
        <v>802</v>
      </c>
      <c r="C219" s="18"/>
      <c r="D219" s="19" t="s">
        <v>803</v>
      </c>
      <c r="E219" s="14"/>
      <c r="F219" s="14"/>
      <c r="G219" s="15"/>
      <c r="H219" s="14"/>
      <c r="I219" s="15" t="e">
        <f>+SUMIFS([1]FORECAST!$E:$E,[1]FORECAST!$C:$C,A219)</f>
        <v>#VALUE!</v>
      </c>
      <c r="J219" s="20">
        <f t="shared" si="9"/>
        <v>0</v>
      </c>
      <c r="K219" s="21">
        <f t="shared" si="10"/>
        <v>0</v>
      </c>
      <c r="L219" s="20">
        <f t="shared" si="11"/>
        <v>0</v>
      </c>
    </row>
    <row r="220" spans="1:12" x14ac:dyDescent="0.3">
      <c r="A220" s="18" t="s">
        <v>804</v>
      </c>
      <c r="B220" s="12" t="s">
        <v>805</v>
      </c>
      <c r="C220" s="18"/>
      <c r="D220" s="19" t="s">
        <v>806</v>
      </c>
      <c r="E220" s="14"/>
      <c r="F220" s="14"/>
      <c r="G220" s="15"/>
      <c r="H220" s="14"/>
      <c r="I220" s="15" t="e">
        <f>+SUMIFS([1]FORECAST!$E:$E,[1]FORECAST!$C:$C,A220)</f>
        <v>#VALUE!</v>
      </c>
      <c r="J220" s="20">
        <f t="shared" si="9"/>
        <v>0</v>
      </c>
      <c r="K220" s="21">
        <f t="shared" si="10"/>
        <v>0</v>
      </c>
      <c r="L220" s="20">
        <f t="shared" si="11"/>
        <v>0</v>
      </c>
    </row>
    <row r="221" spans="1:12" x14ac:dyDescent="0.3">
      <c r="A221" s="18" t="s">
        <v>807</v>
      </c>
      <c r="B221" s="12" t="s">
        <v>808</v>
      </c>
      <c r="C221" s="18"/>
      <c r="D221" s="19" t="s">
        <v>809</v>
      </c>
      <c r="E221" s="14"/>
      <c r="F221" s="14"/>
      <c r="G221" s="15"/>
      <c r="H221" s="14"/>
      <c r="I221" s="15" t="e">
        <f>+SUMIFS([1]FORECAST!$E:$E,[1]FORECAST!$C:$C,A221)</f>
        <v>#VALUE!</v>
      </c>
      <c r="J221" s="20">
        <f t="shared" si="9"/>
        <v>0</v>
      </c>
      <c r="K221" s="21">
        <f t="shared" si="10"/>
        <v>0</v>
      </c>
      <c r="L221" s="20">
        <f t="shared" si="11"/>
        <v>0</v>
      </c>
    </row>
    <row r="222" spans="1:12" x14ac:dyDescent="0.3">
      <c r="A222" s="18" t="s">
        <v>810</v>
      </c>
      <c r="B222" s="12" t="s">
        <v>811</v>
      </c>
      <c r="C222" s="18"/>
      <c r="D222" s="19" t="s">
        <v>812</v>
      </c>
      <c r="E222" s="14"/>
      <c r="F222" s="14"/>
      <c r="G222" s="15"/>
      <c r="H222" s="14"/>
      <c r="I222" s="15" t="e">
        <f>+SUMIFS([1]FORECAST!$E:$E,[1]FORECAST!$C:$C,A222)</f>
        <v>#VALUE!</v>
      </c>
      <c r="J222" s="20">
        <f t="shared" si="9"/>
        <v>0</v>
      </c>
      <c r="K222" s="21">
        <f t="shared" si="10"/>
        <v>0</v>
      </c>
      <c r="L222" s="20">
        <f t="shared" si="11"/>
        <v>0</v>
      </c>
    </row>
    <row r="223" spans="1:12" x14ac:dyDescent="0.3">
      <c r="A223" s="18" t="s">
        <v>813</v>
      </c>
      <c r="B223" s="12" t="s">
        <v>814</v>
      </c>
      <c r="C223" s="18"/>
      <c r="D223" s="19" t="s">
        <v>815</v>
      </c>
      <c r="E223" s="14"/>
      <c r="F223" s="14"/>
      <c r="G223" s="15"/>
      <c r="H223" s="14"/>
      <c r="I223" s="15" t="e">
        <f>+SUMIFS([1]FORECAST!$E:$E,[1]FORECAST!$C:$C,A223)</f>
        <v>#VALUE!</v>
      </c>
      <c r="J223" s="20">
        <f t="shared" si="9"/>
        <v>0</v>
      </c>
      <c r="K223" s="21">
        <f t="shared" si="10"/>
        <v>0</v>
      </c>
      <c r="L223" s="20">
        <f t="shared" si="11"/>
        <v>0</v>
      </c>
    </row>
    <row r="224" spans="1:12" x14ac:dyDescent="0.3">
      <c r="A224" s="18" t="s">
        <v>816</v>
      </c>
      <c r="B224" s="12" t="s">
        <v>817</v>
      </c>
      <c r="C224" s="18"/>
      <c r="D224" s="19" t="s">
        <v>818</v>
      </c>
      <c r="E224" s="14"/>
      <c r="F224" s="14"/>
      <c r="G224" s="15"/>
      <c r="H224" s="14"/>
      <c r="I224" s="15" t="e">
        <f>+SUMIFS([1]FORECAST!$E:$E,[1]FORECAST!$C:$C,A224)</f>
        <v>#VALUE!</v>
      </c>
      <c r="J224" s="20">
        <f t="shared" si="9"/>
        <v>0</v>
      </c>
      <c r="K224" s="21">
        <f t="shared" si="10"/>
        <v>0</v>
      </c>
      <c r="L224" s="20">
        <f t="shared" si="11"/>
        <v>0</v>
      </c>
    </row>
    <row r="225" spans="1:12" x14ac:dyDescent="0.3">
      <c r="A225" s="18" t="s">
        <v>819</v>
      </c>
      <c r="B225" s="12" t="s">
        <v>820</v>
      </c>
      <c r="C225" s="18"/>
      <c r="D225" s="19" t="s">
        <v>821</v>
      </c>
      <c r="E225" s="14"/>
      <c r="F225" s="14"/>
      <c r="G225" s="15"/>
      <c r="H225" s="14"/>
      <c r="I225" s="15" t="e">
        <f>+SUMIFS([1]FORECAST!$E:$E,[1]FORECAST!$C:$C,A225)</f>
        <v>#VALUE!</v>
      </c>
      <c r="J225" s="20">
        <f t="shared" si="9"/>
        <v>0</v>
      </c>
      <c r="K225" s="21">
        <f t="shared" si="10"/>
        <v>0</v>
      </c>
      <c r="L225" s="20">
        <f t="shared" si="11"/>
        <v>0</v>
      </c>
    </row>
    <row r="226" spans="1:12" x14ac:dyDescent="0.3">
      <c r="A226" s="18" t="s">
        <v>822</v>
      </c>
      <c r="B226" s="12" t="s">
        <v>823</v>
      </c>
      <c r="C226" s="18"/>
      <c r="D226" s="19" t="s">
        <v>592</v>
      </c>
      <c r="E226" s="14"/>
      <c r="F226" s="14"/>
      <c r="G226" s="15"/>
      <c r="H226" s="14"/>
      <c r="I226" s="15" t="e">
        <f>+SUMIFS([1]FORECAST!$E:$E,[1]FORECAST!$C:$C,A226)</f>
        <v>#VALUE!</v>
      </c>
      <c r="J226" s="20">
        <f t="shared" si="9"/>
        <v>0</v>
      </c>
      <c r="K226" s="21">
        <f t="shared" si="10"/>
        <v>0</v>
      </c>
      <c r="L226" s="20">
        <f t="shared" si="11"/>
        <v>0</v>
      </c>
    </row>
    <row r="227" spans="1:12" x14ac:dyDescent="0.3">
      <c r="A227" s="18" t="s">
        <v>824</v>
      </c>
      <c r="B227" s="12" t="s">
        <v>825</v>
      </c>
      <c r="C227" s="18"/>
      <c r="D227" s="19" t="s">
        <v>826</v>
      </c>
      <c r="E227" s="14"/>
      <c r="F227" s="14"/>
      <c r="G227" s="15"/>
      <c r="H227" s="14"/>
      <c r="I227" s="15" t="e">
        <f>+SUMIFS([1]FORECAST!$E:$E,[1]FORECAST!$C:$C,A227)</f>
        <v>#VALUE!</v>
      </c>
      <c r="J227" s="20">
        <f t="shared" si="9"/>
        <v>0</v>
      </c>
      <c r="K227" s="21">
        <f t="shared" si="10"/>
        <v>0</v>
      </c>
      <c r="L227" s="20">
        <f t="shared" si="11"/>
        <v>0</v>
      </c>
    </row>
    <row r="228" spans="1:12" x14ac:dyDescent="0.3">
      <c r="A228" s="18" t="s">
        <v>827</v>
      </c>
      <c r="B228" s="12" t="s">
        <v>828</v>
      </c>
      <c r="C228" s="18"/>
      <c r="D228" s="19" t="s">
        <v>829</v>
      </c>
      <c r="E228" s="14"/>
      <c r="F228" s="14"/>
      <c r="G228" s="15"/>
      <c r="H228" s="14"/>
      <c r="I228" s="15" t="e">
        <f>+SUMIFS([1]FORECAST!$E:$E,[1]FORECAST!$C:$C,A228)</f>
        <v>#VALUE!</v>
      </c>
      <c r="J228" s="20">
        <f t="shared" si="9"/>
        <v>0</v>
      </c>
      <c r="K228" s="21">
        <f t="shared" si="10"/>
        <v>0</v>
      </c>
      <c r="L228" s="20">
        <f t="shared" si="11"/>
        <v>0</v>
      </c>
    </row>
    <row r="229" spans="1:12" x14ac:dyDescent="0.3">
      <c r="A229" s="18" t="s">
        <v>830</v>
      </c>
      <c r="B229" s="12" t="s">
        <v>831</v>
      </c>
      <c r="C229" s="18"/>
      <c r="D229" s="19" t="s">
        <v>832</v>
      </c>
      <c r="E229" s="14"/>
      <c r="F229" s="14"/>
      <c r="G229" s="15"/>
      <c r="H229" s="14"/>
      <c r="I229" s="15" t="e">
        <f>+SUMIFS([1]FORECAST!$E:$E,[1]FORECAST!$C:$C,A229)</f>
        <v>#VALUE!</v>
      </c>
      <c r="J229" s="20">
        <f t="shared" si="9"/>
        <v>0</v>
      </c>
      <c r="K229" s="21">
        <f t="shared" si="10"/>
        <v>0</v>
      </c>
      <c r="L229" s="20">
        <f t="shared" si="11"/>
        <v>0</v>
      </c>
    </row>
    <row r="230" spans="1:12" x14ac:dyDescent="0.3">
      <c r="A230" s="18" t="s">
        <v>833</v>
      </c>
      <c r="B230" s="12" t="s">
        <v>834</v>
      </c>
      <c r="C230" s="18"/>
      <c r="D230" s="19" t="s">
        <v>835</v>
      </c>
      <c r="E230" s="14"/>
      <c r="F230" s="14"/>
      <c r="G230" s="15"/>
      <c r="H230" s="14"/>
      <c r="I230" s="15" t="e">
        <f>+SUMIFS([1]FORECAST!$E:$E,[1]FORECAST!$C:$C,A230)</f>
        <v>#VALUE!</v>
      </c>
      <c r="J230" s="20">
        <f t="shared" si="9"/>
        <v>0</v>
      </c>
      <c r="K230" s="21">
        <f t="shared" si="10"/>
        <v>0</v>
      </c>
      <c r="L230" s="20">
        <f t="shared" si="11"/>
        <v>0</v>
      </c>
    </row>
    <row r="231" spans="1:12" x14ac:dyDescent="0.3">
      <c r="A231" s="18" t="s">
        <v>836</v>
      </c>
      <c r="B231" s="12" t="s">
        <v>837</v>
      </c>
      <c r="C231" s="18"/>
      <c r="D231" s="19" t="s">
        <v>838</v>
      </c>
      <c r="E231" s="14"/>
      <c r="F231" s="14"/>
      <c r="G231" s="15"/>
      <c r="H231" s="14"/>
      <c r="I231" s="15" t="e">
        <f>+SUMIFS([1]FORECAST!$E:$E,[1]FORECAST!$C:$C,A231)</f>
        <v>#VALUE!</v>
      </c>
      <c r="J231" s="20">
        <f t="shared" si="9"/>
        <v>0</v>
      </c>
      <c r="K231" s="21">
        <f t="shared" si="10"/>
        <v>0</v>
      </c>
      <c r="L231" s="20">
        <f t="shared" si="11"/>
        <v>0</v>
      </c>
    </row>
    <row r="232" spans="1:12" x14ac:dyDescent="0.3">
      <c r="A232" s="18" t="s">
        <v>839</v>
      </c>
      <c r="B232" s="12" t="s">
        <v>840</v>
      </c>
      <c r="C232" s="18"/>
      <c r="D232" s="19" t="s">
        <v>841</v>
      </c>
      <c r="E232" s="14"/>
      <c r="F232" s="14"/>
      <c r="G232" s="15"/>
      <c r="H232" s="14"/>
      <c r="I232" s="15" t="e">
        <f>+SUMIFS([1]FORECAST!$E:$E,[1]FORECAST!$C:$C,A232)</f>
        <v>#VALUE!</v>
      </c>
      <c r="J232" s="20">
        <f t="shared" si="9"/>
        <v>0</v>
      </c>
      <c r="K232" s="21">
        <f t="shared" si="10"/>
        <v>0</v>
      </c>
      <c r="L232" s="20">
        <f t="shared" si="11"/>
        <v>0</v>
      </c>
    </row>
    <row r="233" spans="1:12" x14ac:dyDescent="0.3">
      <c r="A233" s="18" t="s">
        <v>842</v>
      </c>
      <c r="B233" s="12" t="s">
        <v>843</v>
      </c>
      <c r="C233" s="18"/>
      <c r="D233" s="19" t="s">
        <v>844</v>
      </c>
      <c r="E233" s="14"/>
      <c r="F233" s="14"/>
      <c r="G233" s="15"/>
      <c r="H233" s="14"/>
      <c r="I233" s="15" t="e">
        <f>+SUMIFS([1]FORECAST!$E:$E,[1]FORECAST!$C:$C,A233)</f>
        <v>#VALUE!</v>
      </c>
      <c r="J233" s="20">
        <f t="shared" si="9"/>
        <v>0</v>
      </c>
      <c r="K233" s="21">
        <f t="shared" si="10"/>
        <v>0</v>
      </c>
      <c r="L233" s="20">
        <f t="shared" si="11"/>
        <v>0</v>
      </c>
    </row>
    <row r="234" spans="1:12" x14ac:dyDescent="0.3">
      <c r="A234" s="18" t="s">
        <v>845</v>
      </c>
      <c r="B234" s="12" t="s">
        <v>846</v>
      </c>
      <c r="C234" s="18"/>
      <c r="D234" s="19" t="s">
        <v>847</v>
      </c>
      <c r="E234" s="14"/>
      <c r="F234" s="14"/>
      <c r="G234" s="15"/>
      <c r="H234" s="14"/>
      <c r="I234" s="15" t="e">
        <f>+SUMIFS([1]FORECAST!$E:$E,[1]FORECAST!$C:$C,A234)</f>
        <v>#VALUE!</v>
      </c>
      <c r="J234" s="20">
        <f t="shared" si="9"/>
        <v>0</v>
      </c>
      <c r="K234" s="21">
        <f t="shared" si="10"/>
        <v>0</v>
      </c>
      <c r="L234" s="20">
        <f t="shared" si="11"/>
        <v>0</v>
      </c>
    </row>
    <row r="235" spans="1:12" x14ac:dyDescent="0.3">
      <c r="A235" s="18" t="s">
        <v>848</v>
      </c>
      <c r="B235" s="12" t="s">
        <v>849</v>
      </c>
      <c r="C235" s="18"/>
      <c r="D235" s="19" t="s">
        <v>850</v>
      </c>
      <c r="E235" s="14"/>
      <c r="F235" s="14"/>
      <c r="G235" s="15"/>
      <c r="H235" s="14"/>
      <c r="I235" s="15" t="e">
        <f>+SUMIFS([1]FORECAST!$E:$E,[1]FORECAST!$C:$C,A235)</f>
        <v>#VALUE!</v>
      </c>
      <c r="J235" s="20">
        <f t="shared" si="9"/>
        <v>0</v>
      </c>
      <c r="K235" s="21">
        <f t="shared" si="10"/>
        <v>0</v>
      </c>
      <c r="L235" s="20">
        <f t="shared" si="11"/>
        <v>0</v>
      </c>
    </row>
    <row r="236" spans="1:12" x14ac:dyDescent="0.3">
      <c r="A236" s="18" t="s">
        <v>851</v>
      </c>
      <c r="B236" s="12" t="s">
        <v>852</v>
      </c>
      <c r="C236" s="18"/>
      <c r="D236" s="19" t="s">
        <v>853</v>
      </c>
      <c r="E236" s="14"/>
      <c r="F236" s="14"/>
      <c r="G236" s="15"/>
      <c r="H236" s="14"/>
      <c r="I236" s="15" t="e">
        <f>+SUMIFS([1]FORECAST!$E:$E,[1]FORECAST!$C:$C,A236)</f>
        <v>#VALUE!</v>
      </c>
      <c r="J236" s="20">
        <f t="shared" si="9"/>
        <v>0</v>
      </c>
      <c r="K236" s="21">
        <f t="shared" si="10"/>
        <v>0</v>
      </c>
      <c r="L236" s="20">
        <f t="shared" si="11"/>
        <v>0</v>
      </c>
    </row>
    <row r="237" spans="1:12" x14ac:dyDescent="0.3">
      <c r="A237" s="18" t="s">
        <v>854</v>
      </c>
      <c r="B237" s="12" t="s">
        <v>855</v>
      </c>
      <c r="C237" s="18"/>
      <c r="D237" s="19" t="s">
        <v>856</v>
      </c>
      <c r="E237" s="14"/>
      <c r="F237" s="14"/>
      <c r="G237" s="15"/>
      <c r="H237" s="14"/>
      <c r="I237" s="15" t="e">
        <f>+SUMIFS([1]FORECAST!$E:$E,[1]FORECAST!$C:$C,A237)</f>
        <v>#VALUE!</v>
      </c>
      <c r="J237" s="20">
        <f t="shared" si="9"/>
        <v>0</v>
      </c>
      <c r="K237" s="21">
        <f t="shared" si="10"/>
        <v>0</v>
      </c>
      <c r="L237" s="20">
        <f t="shared" si="11"/>
        <v>0</v>
      </c>
    </row>
    <row r="238" spans="1:12" x14ac:dyDescent="0.3">
      <c r="A238" s="18" t="s">
        <v>857</v>
      </c>
      <c r="B238" s="12" t="s">
        <v>858</v>
      </c>
      <c r="C238" s="18"/>
      <c r="D238" s="19" t="s">
        <v>859</v>
      </c>
      <c r="E238" s="14"/>
      <c r="F238" s="14"/>
      <c r="G238" s="15"/>
      <c r="H238" s="14"/>
      <c r="I238" s="15" t="e">
        <f>+SUMIFS([1]FORECAST!$E:$E,[1]FORECAST!$C:$C,A238)</f>
        <v>#VALUE!</v>
      </c>
      <c r="J238" s="20">
        <f t="shared" si="9"/>
        <v>0</v>
      </c>
      <c r="K238" s="21">
        <f t="shared" si="10"/>
        <v>0</v>
      </c>
      <c r="L238" s="20">
        <f t="shared" si="11"/>
        <v>0</v>
      </c>
    </row>
    <row r="239" spans="1:12" x14ac:dyDescent="0.3">
      <c r="A239" s="18" t="s">
        <v>860</v>
      </c>
      <c r="B239" s="12" t="s">
        <v>861</v>
      </c>
      <c r="C239" s="18"/>
      <c r="D239" s="19" t="s">
        <v>862</v>
      </c>
      <c r="E239" s="14"/>
      <c r="F239" s="14"/>
      <c r="G239" s="15"/>
      <c r="H239" s="14"/>
      <c r="I239" s="15" t="e">
        <f>+SUMIFS([1]FORECAST!$E:$E,[1]FORECAST!$C:$C,A239)</f>
        <v>#VALUE!</v>
      </c>
      <c r="J239" s="20">
        <f t="shared" si="9"/>
        <v>0</v>
      </c>
      <c r="K239" s="21">
        <f t="shared" si="10"/>
        <v>0</v>
      </c>
      <c r="L239" s="20">
        <f t="shared" si="11"/>
        <v>0</v>
      </c>
    </row>
    <row r="240" spans="1:12" x14ac:dyDescent="0.3">
      <c r="A240" s="18" t="s">
        <v>863</v>
      </c>
      <c r="B240" s="12" t="s">
        <v>864</v>
      </c>
      <c r="C240" s="18"/>
      <c r="D240" s="19" t="s">
        <v>865</v>
      </c>
      <c r="E240" s="14"/>
      <c r="F240" s="14"/>
      <c r="G240" s="15"/>
      <c r="H240" s="14"/>
      <c r="I240" s="15" t="e">
        <f>+SUMIFS([1]FORECAST!$E:$E,[1]FORECAST!$C:$C,A240)</f>
        <v>#VALUE!</v>
      </c>
      <c r="J240" s="20">
        <f t="shared" si="9"/>
        <v>0</v>
      </c>
      <c r="K240" s="21">
        <f t="shared" si="10"/>
        <v>0</v>
      </c>
      <c r="L240" s="20">
        <f t="shared" si="11"/>
        <v>0</v>
      </c>
    </row>
    <row r="241" spans="1:12" ht="15" thickBot="1" x14ac:dyDescent="0.35">
      <c r="A241" s="18" t="s">
        <v>866</v>
      </c>
      <c r="B241" s="12" t="s">
        <v>867</v>
      </c>
      <c r="C241" s="18"/>
      <c r="D241" s="19" t="s">
        <v>868</v>
      </c>
      <c r="E241" s="14"/>
      <c r="F241" s="14"/>
      <c r="G241" s="15"/>
      <c r="H241" s="14"/>
      <c r="I241" s="15" t="e">
        <f>+SUMIFS([1]FORECAST!$E:$E,[1]FORECAST!$C:$C,A241)</f>
        <v>#VALUE!</v>
      </c>
      <c r="J241" s="20">
        <f t="shared" si="9"/>
        <v>0</v>
      </c>
      <c r="K241" s="21">
        <f t="shared" si="10"/>
        <v>0</v>
      </c>
      <c r="L241" s="20">
        <f t="shared" si="11"/>
        <v>0</v>
      </c>
    </row>
    <row r="242" spans="1:12" ht="15" thickBot="1" x14ac:dyDescent="0.35">
      <c r="A242" s="55"/>
      <c r="B242" s="12" t="s">
        <v>869</v>
      </c>
      <c r="C242" s="55" t="s">
        <v>254</v>
      </c>
      <c r="D242" s="55" t="s">
        <v>870</v>
      </c>
      <c r="E242" s="57"/>
      <c r="F242" s="57"/>
      <c r="G242" s="57"/>
      <c r="H242" s="57"/>
      <c r="I242" s="57" t="e">
        <f>SUM(I218:I241)</f>
        <v>#VALUE!</v>
      </c>
      <c r="J242" s="31">
        <f t="shared" si="9"/>
        <v>0</v>
      </c>
      <c r="K242" s="32">
        <f t="shared" si="10"/>
        <v>0</v>
      </c>
      <c r="L242" s="31">
        <f t="shared" si="11"/>
        <v>0</v>
      </c>
    </row>
    <row r="243" spans="1:12" ht="15" thickBot="1" x14ac:dyDescent="0.35">
      <c r="A243" s="43"/>
      <c r="B243" s="12" t="s">
        <v>871</v>
      </c>
      <c r="C243" s="43" t="s">
        <v>254</v>
      </c>
      <c r="D243" s="43" t="s">
        <v>872</v>
      </c>
      <c r="E243" s="44"/>
      <c r="F243" s="44"/>
      <c r="G243" s="44"/>
      <c r="H243" s="44"/>
      <c r="I243" s="44" t="e">
        <f>I185+I217+I242</f>
        <v>#VALUE!</v>
      </c>
      <c r="J243" s="25">
        <f t="shared" si="9"/>
        <v>0</v>
      </c>
      <c r="K243" s="45">
        <f t="shared" si="10"/>
        <v>0</v>
      </c>
      <c r="L243" s="25">
        <f t="shared" si="11"/>
        <v>0</v>
      </c>
    </row>
    <row r="244" spans="1:12" x14ac:dyDescent="0.3">
      <c r="A244" s="60"/>
      <c r="B244" s="12" t="s">
        <v>873</v>
      </c>
      <c r="C244" s="60" t="s">
        <v>174</v>
      </c>
      <c r="D244" s="60" t="s">
        <v>874</v>
      </c>
      <c r="E244" s="59"/>
      <c r="F244" s="59"/>
      <c r="G244" s="59"/>
      <c r="H244" s="59"/>
      <c r="I244" s="59" t="e">
        <f>+I243/I8</f>
        <v>#VALUE!</v>
      </c>
      <c r="J244" s="61">
        <f t="shared" si="9"/>
        <v>0</v>
      </c>
      <c r="K244" s="59">
        <f t="shared" si="10"/>
        <v>0</v>
      </c>
      <c r="L244" s="61">
        <f t="shared" si="11"/>
        <v>0</v>
      </c>
    </row>
    <row r="245" spans="1:12" ht="15" thickBot="1" x14ac:dyDescent="0.35">
      <c r="A245" s="18" t="s">
        <v>875</v>
      </c>
      <c r="B245" s="12" t="s">
        <v>876</v>
      </c>
      <c r="C245" s="18"/>
      <c r="D245" s="19" t="s">
        <v>877</v>
      </c>
      <c r="E245" s="14"/>
      <c r="F245" s="14"/>
      <c r="G245" s="15"/>
      <c r="H245" s="62"/>
      <c r="I245" s="15" t="e">
        <f>+SUMIFS([1]FORECAST!$E:$E,[1]FORECAST!$C:$C,A245)</f>
        <v>#VALUE!</v>
      </c>
      <c r="J245" s="20">
        <f t="shared" si="9"/>
        <v>0</v>
      </c>
      <c r="K245" s="21">
        <f t="shared" si="10"/>
        <v>0</v>
      </c>
      <c r="L245" s="20">
        <f t="shared" si="11"/>
        <v>0</v>
      </c>
    </row>
    <row r="246" spans="1:12" ht="15" thickBot="1" x14ac:dyDescent="0.35">
      <c r="A246" s="55"/>
      <c r="B246" s="12" t="s">
        <v>878</v>
      </c>
      <c r="C246" s="55" t="s">
        <v>174</v>
      </c>
      <c r="D246" s="55" t="s">
        <v>879</v>
      </c>
      <c r="E246" s="57"/>
      <c r="F246" s="57"/>
      <c r="G246" s="57"/>
      <c r="H246" s="57"/>
      <c r="I246" s="57" t="e">
        <f>I245</f>
        <v>#VALUE!</v>
      </c>
      <c r="J246" s="31">
        <f t="shared" si="9"/>
        <v>0</v>
      </c>
      <c r="K246" s="32">
        <f t="shared" si="10"/>
        <v>0</v>
      </c>
      <c r="L246" s="31">
        <f t="shared" si="11"/>
        <v>0</v>
      </c>
    </row>
    <row r="247" spans="1:12" x14ac:dyDescent="0.3">
      <c r="A247" s="18" t="s">
        <v>880</v>
      </c>
      <c r="B247" s="12" t="s">
        <v>881</v>
      </c>
      <c r="C247" s="18" t="s">
        <v>174</v>
      </c>
      <c r="D247" s="19" t="s">
        <v>882</v>
      </c>
      <c r="E247" s="14"/>
      <c r="F247" s="14"/>
      <c r="G247" s="15"/>
      <c r="H247" s="16"/>
      <c r="I247" s="15" t="e">
        <f>+SUMIFS([1]FORECAST!$E:$E,[1]FORECAST!$C:$C,A247)</f>
        <v>#VALUE!</v>
      </c>
      <c r="J247" s="20">
        <f t="shared" si="9"/>
        <v>0</v>
      </c>
      <c r="K247" s="21">
        <f t="shared" si="10"/>
        <v>0</v>
      </c>
      <c r="L247" s="20">
        <f t="shared" si="11"/>
        <v>0</v>
      </c>
    </row>
    <row r="248" spans="1:12" ht="15" thickBot="1" x14ac:dyDescent="0.35">
      <c r="A248" s="18" t="s">
        <v>883</v>
      </c>
      <c r="B248" s="12" t="s">
        <v>884</v>
      </c>
      <c r="C248" s="18"/>
      <c r="D248" s="19" t="s">
        <v>885</v>
      </c>
      <c r="E248" s="14"/>
      <c r="F248" s="14"/>
      <c r="G248" s="15"/>
      <c r="H248" s="62"/>
      <c r="I248" s="15" t="e">
        <f>+SUMIFS([1]FORECAST!$E:$E,[1]FORECAST!$C:$C,A248)</f>
        <v>#VALUE!</v>
      </c>
      <c r="J248" s="20">
        <f t="shared" si="9"/>
        <v>0</v>
      </c>
      <c r="K248" s="21">
        <f t="shared" si="10"/>
        <v>0</v>
      </c>
      <c r="L248" s="20">
        <f t="shared" si="11"/>
        <v>0</v>
      </c>
    </row>
    <row r="249" spans="1:12" ht="15" thickBot="1" x14ac:dyDescent="0.35">
      <c r="A249" s="55"/>
      <c r="B249" s="12" t="s">
        <v>886</v>
      </c>
      <c r="C249" s="55" t="s">
        <v>174</v>
      </c>
      <c r="D249" s="55" t="s">
        <v>887</v>
      </c>
      <c r="E249" s="57"/>
      <c r="F249" s="57"/>
      <c r="G249" s="57"/>
      <c r="H249" s="57"/>
      <c r="I249" s="57" t="e">
        <f>I247+I248</f>
        <v>#VALUE!</v>
      </c>
      <c r="J249" s="31">
        <f t="shared" si="9"/>
        <v>0</v>
      </c>
      <c r="K249" s="32">
        <f t="shared" si="10"/>
        <v>0</v>
      </c>
      <c r="L249" s="31">
        <f t="shared" si="11"/>
        <v>0</v>
      </c>
    </row>
    <row r="250" spans="1:12" ht="15" thickBot="1" x14ac:dyDescent="0.35">
      <c r="A250" s="43"/>
      <c r="B250" s="12" t="s">
        <v>888</v>
      </c>
      <c r="C250" s="43" t="s">
        <v>174</v>
      </c>
      <c r="D250" s="43" t="s">
        <v>889</v>
      </c>
      <c r="E250" s="63"/>
      <c r="F250" s="63"/>
      <c r="G250" s="64"/>
      <c r="H250" s="64"/>
      <c r="I250" s="64" t="e">
        <f>+I243+I249+I246</f>
        <v>#VALUE!</v>
      </c>
      <c r="J250" s="25">
        <f t="shared" si="9"/>
        <v>0</v>
      </c>
      <c r="K250" s="45">
        <f t="shared" si="10"/>
        <v>0</v>
      </c>
      <c r="L250" s="25">
        <f t="shared" si="11"/>
        <v>0</v>
      </c>
    </row>
    <row r="251" spans="1:12" x14ac:dyDescent="0.3">
      <c r="A251" s="60"/>
      <c r="B251" s="12" t="s">
        <v>890</v>
      </c>
      <c r="C251" s="60" t="s">
        <v>174</v>
      </c>
      <c r="D251" s="60" t="s">
        <v>891</v>
      </c>
      <c r="E251" s="65"/>
      <c r="F251" s="65"/>
      <c r="G251" s="65"/>
      <c r="H251" s="65"/>
      <c r="I251" s="65" t="e">
        <f>+I250/I8</f>
        <v>#VALUE!</v>
      </c>
      <c r="J251" s="61">
        <f t="shared" si="9"/>
        <v>0</v>
      </c>
      <c r="K251" s="65">
        <f t="shared" si="10"/>
        <v>0</v>
      </c>
      <c r="L251" s="61">
        <f t="shared" si="11"/>
        <v>0</v>
      </c>
    </row>
  </sheetData>
  <conditionalFormatting sqref="J2:J251 L2:L25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1DF2-4B13-46C1-8E9B-FF73ACA05704}">
  <dimension ref="K6:M7"/>
  <sheetViews>
    <sheetView workbookViewId="0">
      <selection activeCell="M7" sqref="M7"/>
    </sheetView>
  </sheetViews>
  <sheetFormatPr baseColWidth="10" defaultRowHeight="14.4" x14ac:dyDescent="0.3"/>
  <sheetData>
    <row r="6" spans="11:13" x14ac:dyDescent="0.3">
      <c r="K6" t="s">
        <v>892</v>
      </c>
      <c r="M6" t="s">
        <v>894</v>
      </c>
    </row>
    <row r="7" spans="11:13" x14ac:dyDescent="0.3">
      <c r="K7" t="s">
        <v>893</v>
      </c>
      <c r="M7" t="s">
        <v>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BD ESTRA</vt:lpstr>
      <vt:lpstr>RESULTAT MODELE</vt:lpstr>
      <vt:lpstr>TB ACHAT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EN-NYLY</dc:creator>
  <cp:lastModifiedBy>Mohamed EN-NYLY</cp:lastModifiedBy>
  <dcterms:created xsi:type="dcterms:W3CDTF">2026-02-11T14:08:11Z</dcterms:created>
  <dcterms:modified xsi:type="dcterms:W3CDTF">2026-02-11T14:34:22Z</dcterms:modified>
</cp:coreProperties>
</file>